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tteoFarinelli\Downloads\"/>
    </mc:Choice>
  </mc:AlternateContent>
  <xr:revisionPtr revIDLastSave="0" documentId="13_ncr:1_{2EFF6797-108E-467B-8DB3-2C96E5521AF9}" xr6:coauthVersionLast="47" xr6:coauthVersionMax="47" xr10:uidLastSave="{00000000-0000-0000-0000-000000000000}"/>
  <bookViews>
    <workbookView xWindow="-108" yWindow="-108" windowWidth="23256" windowHeight="12456" xr2:uid="{DF0D897E-E70E-422B-84EF-31B63FD304A8}"/>
  </bookViews>
  <sheets>
    <sheet name="domande" sheetId="4" r:id="rId1"/>
    <sheet name="Foglio1"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4" l="1" a="1"/>
  <c r="O2" i="4" s="1"/>
  <c r="O3" i="4" a="1"/>
  <c r="O3" i="4" s="1"/>
  <c r="O4" i="4" a="1"/>
  <c r="O4" i="4" s="1"/>
  <c r="O5" i="4" a="1"/>
  <c r="O5" i="4" s="1"/>
  <c r="O6" i="4" a="1"/>
  <c r="O6" i="4" s="1"/>
  <c r="O7" i="4" a="1"/>
  <c r="O7" i="4" s="1"/>
  <c r="O8" i="4" a="1"/>
  <c r="O8" i="4" s="1"/>
  <c r="O9" i="4" a="1"/>
  <c r="O9" i="4" s="1"/>
  <c r="O10" i="4" a="1"/>
  <c r="O10" i="4" s="1"/>
  <c r="O11" i="4" a="1"/>
  <c r="O11" i="4" s="1"/>
  <c r="O12" i="4" a="1"/>
  <c r="O12" i="4" s="1"/>
  <c r="O13" i="4" a="1"/>
  <c r="O13" i="4" s="1"/>
  <c r="O14" i="4" a="1"/>
  <c r="O14" i="4" s="1"/>
  <c r="O15" i="4" a="1"/>
  <c r="O15" i="4" s="1"/>
  <c r="O16" i="4" a="1"/>
  <c r="O16" i="4" s="1"/>
  <c r="O17" i="4" a="1"/>
  <c r="O17" i="4" s="1"/>
  <c r="O18" i="4" a="1"/>
  <c r="O18" i="4" s="1"/>
  <c r="O19" i="4" a="1"/>
  <c r="O19" i="4" s="1"/>
  <c r="O20" i="4" a="1"/>
  <c r="O20" i="4" s="1"/>
  <c r="O21" i="4" a="1"/>
  <c r="O21" i="4" s="1"/>
  <c r="O22" i="4" a="1"/>
  <c r="O22" i="4" s="1"/>
  <c r="O23" i="4" a="1"/>
  <c r="O23" i="4" s="1"/>
  <c r="O24" i="4" a="1"/>
  <c r="O24" i="4" s="1"/>
  <c r="O25" i="4" a="1"/>
  <c r="O25" i="4" s="1"/>
  <c r="O26" i="4" a="1"/>
  <c r="O26" i="4" s="1"/>
  <c r="O27" i="4" a="1"/>
  <c r="O27" i="4" s="1"/>
  <c r="O28" i="4" a="1"/>
  <c r="O28" i="4" s="1"/>
  <c r="O29" i="4" a="1"/>
  <c r="O29" i="4" s="1"/>
  <c r="O30" i="4" a="1"/>
  <c r="O30" i="4" s="1"/>
  <c r="O31" i="4" a="1"/>
  <c r="O31" i="4" s="1"/>
  <c r="O32" i="4" a="1"/>
  <c r="O32" i="4" s="1"/>
  <c r="O33" i="4" a="1"/>
  <c r="O33" i="4" s="1"/>
  <c r="O34" i="4" a="1"/>
  <c r="O34" i="4" s="1"/>
  <c r="O35" i="4" a="1"/>
  <c r="O35" i="4" s="1"/>
  <c r="O36" i="4" a="1"/>
  <c r="O36" i="4" s="1"/>
  <c r="O37" i="4" a="1"/>
  <c r="O37" i="4" s="1"/>
  <c r="O38" i="4" a="1"/>
  <c r="O38" i="4" s="1"/>
  <c r="O39" i="4" a="1"/>
  <c r="O39" i="4" s="1"/>
  <c r="O40" i="4" a="1"/>
  <c r="O40" i="4" s="1"/>
  <c r="O41" i="4" a="1"/>
  <c r="O41" i="4" s="1"/>
  <c r="O42" i="4" a="1"/>
  <c r="O42" i="4" s="1"/>
  <c r="O43" i="4" a="1"/>
  <c r="O43" i="4" s="1"/>
  <c r="O44" i="4" a="1"/>
  <c r="O44" i="4" s="1"/>
  <c r="O45" i="4" a="1"/>
  <c r="O45" i="4" s="1"/>
  <c r="O46" i="4" a="1"/>
  <c r="O46" i="4" s="1"/>
  <c r="O47" i="4" a="1"/>
  <c r="O47" i="4" s="1"/>
  <c r="O48" i="4" a="1"/>
  <c r="O48" i="4" s="1"/>
  <c r="O49" i="4" a="1"/>
  <c r="O49" i="4" s="1"/>
  <c r="O50" i="4" a="1"/>
  <c r="O50" i="4" s="1"/>
  <c r="O51" i="4" a="1"/>
  <c r="O51" i="4" s="1"/>
  <c r="O52" i="4" a="1"/>
  <c r="O52" i="4" s="1"/>
  <c r="O53" i="4" a="1"/>
  <c r="O53" i="4" s="1"/>
  <c r="O54" i="4" a="1"/>
  <c r="O54" i="4" s="1"/>
  <c r="O55" i="4" a="1"/>
  <c r="O55" i="4" s="1"/>
  <c r="O56" i="4" a="1"/>
  <c r="O56" i="4" s="1"/>
  <c r="O57" i="4" a="1"/>
  <c r="O57" i="4" s="1"/>
  <c r="O58" i="4" a="1"/>
  <c r="O58" i="4" s="1"/>
  <c r="O59" i="4" a="1"/>
  <c r="O59" i="4" s="1"/>
  <c r="O60" i="4" a="1"/>
  <c r="O60" i="4" s="1"/>
  <c r="O61" i="4" a="1"/>
  <c r="O61" i="4" s="1"/>
  <c r="O62" i="4" a="1"/>
  <c r="O62" i="4" s="1"/>
  <c r="O63" i="4" a="1"/>
  <c r="O63" i="4" s="1"/>
  <c r="O64" i="4" a="1"/>
  <c r="O64" i="4" s="1"/>
  <c r="O65" i="4" a="1"/>
  <c r="O65" i="4" s="1"/>
  <c r="O66" i="4" a="1"/>
  <c r="O66" i="4" s="1"/>
  <c r="O67" i="4" a="1"/>
  <c r="O67" i="4" s="1"/>
  <c r="O68" i="4" a="1"/>
  <c r="O68" i="4" s="1"/>
  <c r="O69" i="4" a="1"/>
  <c r="O69" i="4" s="1"/>
  <c r="O70" i="4" a="1"/>
  <c r="O70" i="4" s="1"/>
  <c r="O71" i="4" a="1"/>
  <c r="O71" i="4" s="1"/>
  <c r="O72" i="4" a="1"/>
  <c r="O72" i="4" s="1"/>
  <c r="O73" i="4" a="1"/>
  <c r="O73" i="4" s="1"/>
  <c r="O74" i="4" a="1"/>
  <c r="O74" i="4" s="1"/>
  <c r="O75" i="4" a="1"/>
  <c r="O75" i="4" s="1"/>
  <c r="O76" i="4" a="1"/>
  <c r="O76" i="4" s="1"/>
  <c r="O77" i="4" a="1"/>
  <c r="O77" i="4" s="1"/>
  <c r="O78" i="4" a="1"/>
  <c r="O78" i="4" s="1"/>
  <c r="O79" i="4" a="1"/>
  <c r="O79" i="4" s="1"/>
  <c r="O80" i="4" a="1"/>
  <c r="O80" i="4" s="1"/>
  <c r="O81" i="4" a="1"/>
  <c r="O81" i="4" s="1"/>
  <c r="O82" i="4" a="1"/>
  <c r="O82" i="4" s="1"/>
  <c r="O83" i="4" a="1"/>
  <c r="O83" i="4" s="1"/>
  <c r="O84" i="4" a="1"/>
  <c r="O84" i="4" s="1"/>
  <c r="O85" i="4" a="1"/>
  <c r="O85" i="4" s="1"/>
  <c r="O86" i="4" a="1"/>
  <c r="O86" i="4" s="1"/>
  <c r="O87" i="4" a="1"/>
  <c r="O87" i="4" s="1"/>
  <c r="O88" i="4" a="1"/>
  <c r="O88" i="4" s="1"/>
  <c r="O89" i="4" a="1"/>
  <c r="O89" i="4" s="1"/>
  <c r="O90" i="4" a="1"/>
  <c r="O90" i="4" s="1"/>
  <c r="O91" i="4" a="1"/>
  <c r="O91" i="4" s="1"/>
  <c r="O92" i="4" a="1"/>
  <c r="O92" i="4" s="1"/>
  <c r="O93" i="4" a="1"/>
  <c r="O93" i="4" s="1"/>
  <c r="O94" i="4" a="1"/>
  <c r="O94" i="4" s="1"/>
  <c r="O95" i="4" a="1"/>
  <c r="O95" i="4" s="1"/>
  <c r="O96" i="4" a="1"/>
  <c r="O96" i="4" s="1"/>
  <c r="O97" i="4" a="1"/>
  <c r="O97" i="4" s="1"/>
  <c r="O98" i="4" a="1"/>
  <c r="O98" i="4" s="1"/>
  <c r="O99" i="4" a="1"/>
  <c r="O99" i="4" s="1"/>
  <c r="O100" i="4" a="1"/>
  <c r="O100" i="4" s="1"/>
  <c r="O101" i="4" a="1"/>
  <c r="O101" i="4" s="1"/>
  <c r="O102" i="4" a="1"/>
  <c r="O102" i="4" s="1"/>
  <c r="O103" i="4" a="1"/>
  <c r="O103" i="4" s="1"/>
  <c r="O104" i="4" a="1"/>
  <c r="O104" i="4" s="1"/>
  <c r="O105" i="4" a="1"/>
  <c r="O105" i="4" s="1"/>
  <c r="O106" i="4" a="1"/>
  <c r="O106" i="4" s="1"/>
  <c r="O107" i="4" a="1"/>
  <c r="O107" i="4" s="1"/>
  <c r="O108" i="4" a="1"/>
  <c r="O108" i="4" s="1"/>
  <c r="O109" i="4" a="1"/>
  <c r="O109" i="4" s="1"/>
  <c r="O110" i="4" a="1"/>
  <c r="O110" i="4" s="1"/>
  <c r="O111" i="4" a="1"/>
  <c r="O111" i="4" s="1"/>
  <c r="O112" i="4" a="1"/>
  <c r="O112" i="4" s="1"/>
  <c r="O113" i="4" a="1"/>
  <c r="O113" i="4" s="1"/>
  <c r="O114" i="4" a="1"/>
  <c r="O114" i="4" s="1"/>
  <c r="O115" i="4" a="1"/>
  <c r="O115" i="4" s="1"/>
  <c r="O116" i="4" a="1"/>
  <c r="O116" i="4" s="1"/>
  <c r="O117" i="4" a="1"/>
  <c r="O117" i="4" s="1"/>
  <c r="O118" i="4" a="1"/>
  <c r="O118" i="4" s="1"/>
  <c r="O119" i="4" a="1"/>
  <c r="O119" i="4" s="1"/>
  <c r="O120" i="4" a="1"/>
  <c r="O120" i="4" s="1"/>
  <c r="O121" i="4" a="1"/>
  <c r="O121" i="4" s="1"/>
  <c r="O122" i="4" a="1"/>
  <c r="O122" i="4" s="1"/>
  <c r="O123" i="4" a="1"/>
  <c r="O123" i="4" s="1"/>
  <c r="O124" i="4" a="1"/>
  <c r="O124" i="4" s="1"/>
  <c r="O125" i="4" a="1"/>
  <c r="O125" i="4" s="1"/>
  <c r="O126" i="4" a="1"/>
  <c r="O126" i="4" s="1"/>
  <c r="O127" i="4" a="1"/>
  <c r="O127" i="4" s="1"/>
  <c r="O128" i="4" a="1"/>
  <c r="O128" i="4" s="1"/>
  <c r="O129" i="4" a="1"/>
  <c r="O129" i="4" s="1"/>
  <c r="O130" i="4" a="1"/>
  <c r="O130" i="4" s="1"/>
  <c r="O131" i="4" a="1"/>
  <c r="O131" i="4" s="1"/>
  <c r="O132" i="4" a="1"/>
  <c r="O132" i="4" s="1"/>
  <c r="O133" i="4" a="1"/>
  <c r="O133" i="4" s="1"/>
  <c r="O134" i="4" a="1"/>
  <c r="O134" i="4" s="1"/>
  <c r="O135" i="4" a="1"/>
  <c r="O135" i="4" s="1"/>
  <c r="O136" i="4" a="1"/>
  <c r="O136" i="4" s="1"/>
  <c r="O137" i="4" a="1"/>
  <c r="O137" i="4" s="1"/>
  <c r="O138" i="4" a="1"/>
  <c r="O138" i="4" s="1"/>
  <c r="O139" i="4" a="1"/>
  <c r="O139" i="4" s="1"/>
  <c r="O140" i="4" a="1"/>
  <c r="O140" i="4" s="1"/>
  <c r="O141" i="4" a="1"/>
  <c r="O141" i="4" s="1"/>
  <c r="O142" i="4" a="1"/>
  <c r="O142" i="4" s="1"/>
  <c r="O143" i="4" a="1"/>
  <c r="O143" i="4" s="1"/>
  <c r="O144" i="4" a="1"/>
  <c r="O144" i="4" s="1"/>
  <c r="O145" i="4" a="1"/>
  <c r="O145" i="4" s="1"/>
  <c r="O146" i="4" a="1"/>
  <c r="O146" i="4" s="1"/>
  <c r="O147" i="4" a="1"/>
  <c r="O147" i="4" s="1"/>
  <c r="O148" i="4" a="1"/>
  <c r="O148" i="4" s="1"/>
  <c r="O149" i="4" a="1"/>
  <c r="O149" i="4" s="1"/>
  <c r="O150" i="4" a="1"/>
  <c r="O150" i="4" s="1"/>
  <c r="O151" i="4" a="1"/>
  <c r="O151" i="4" s="1"/>
  <c r="O152" i="4" a="1"/>
  <c r="O152" i="4" s="1"/>
  <c r="O153" i="4" a="1"/>
  <c r="O153" i="4" s="1"/>
  <c r="O154" i="4" a="1"/>
  <c r="O154" i="4" s="1"/>
  <c r="O155" i="4" a="1"/>
  <c r="O155" i="4" s="1"/>
  <c r="O156" i="4" a="1"/>
  <c r="O156" i="4" s="1"/>
  <c r="O157" i="4" a="1"/>
  <c r="O157" i="4" s="1"/>
  <c r="O158" i="4" a="1"/>
  <c r="O158" i="4" s="1"/>
  <c r="O159" i="4" a="1"/>
  <c r="O159" i="4" s="1"/>
  <c r="O160" i="4" a="1"/>
  <c r="O160" i="4" s="1"/>
  <c r="O161" i="4" a="1"/>
  <c r="O161" i="4" s="1"/>
  <c r="O162" i="4" a="1"/>
  <c r="O162" i="4" s="1"/>
  <c r="O163" i="4" a="1"/>
  <c r="O163" i="4" s="1"/>
  <c r="O164" i="4" a="1"/>
  <c r="O164" i="4" s="1"/>
  <c r="O165" i="4" a="1"/>
  <c r="O165" i="4" s="1"/>
  <c r="O166" i="4" a="1"/>
  <c r="O166" i="4" s="1"/>
  <c r="O167" i="4" a="1"/>
  <c r="O167" i="4" s="1"/>
  <c r="O168" i="4" a="1"/>
  <c r="O168" i="4" s="1"/>
  <c r="O169" i="4" a="1"/>
  <c r="O169" i="4" s="1"/>
  <c r="O170" i="4" a="1"/>
  <c r="O170" i="4" s="1"/>
  <c r="O171" i="4" a="1"/>
  <c r="O171" i="4" s="1"/>
  <c r="O172" i="4" a="1"/>
  <c r="O172" i="4" s="1"/>
  <c r="O173" i="4" a="1"/>
  <c r="O173" i="4" s="1"/>
  <c r="O174" i="4" a="1"/>
  <c r="O174" i="4" s="1"/>
  <c r="O175" i="4" a="1"/>
  <c r="O175" i="4" s="1"/>
  <c r="O176" i="4" a="1"/>
  <c r="O176" i="4" s="1"/>
  <c r="O177" i="4" a="1"/>
  <c r="O177" i="4" s="1"/>
  <c r="O178" i="4" a="1"/>
  <c r="O178" i="4" s="1"/>
  <c r="O179" i="4" a="1"/>
  <c r="O179" i="4" s="1"/>
  <c r="O180" i="4" a="1"/>
  <c r="O180" i="4" s="1"/>
  <c r="O181" i="4" a="1"/>
  <c r="O181" i="4" s="1"/>
  <c r="O182" i="4" a="1"/>
  <c r="O182" i="4" s="1"/>
  <c r="O183" i="4" a="1"/>
  <c r="O183" i="4" s="1"/>
  <c r="O184" i="4" a="1"/>
  <c r="O184" i="4" s="1"/>
  <c r="O185" i="4" a="1"/>
  <c r="O185" i="4" s="1"/>
  <c r="O186" i="4" a="1"/>
  <c r="O186" i="4" s="1"/>
  <c r="O187" i="4" a="1"/>
  <c r="O187" i="4" s="1"/>
  <c r="O188" i="4" a="1"/>
  <c r="O188" i="4" s="1"/>
  <c r="O189" i="4" a="1"/>
  <c r="O189" i="4" s="1"/>
  <c r="O190" i="4" a="1"/>
  <c r="O190" i="4" s="1"/>
  <c r="O191" i="4" a="1"/>
  <c r="O191" i="4" s="1"/>
  <c r="O192" i="4" a="1"/>
  <c r="O192" i="4" s="1"/>
  <c r="O193" i="4" a="1"/>
  <c r="O193" i="4" s="1"/>
  <c r="O194" i="4" a="1"/>
  <c r="O194" i="4" s="1"/>
  <c r="O195" i="4" a="1"/>
  <c r="O195" i="4" s="1"/>
  <c r="O196" i="4" a="1"/>
  <c r="O196" i="4" s="1"/>
  <c r="O197" i="4" a="1"/>
  <c r="O197" i="4" s="1"/>
  <c r="O198" i="4" a="1"/>
  <c r="O198" i="4" s="1"/>
  <c r="O199" i="4" a="1"/>
  <c r="O199" i="4" s="1"/>
  <c r="O200" i="4" a="1"/>
  <c r="O200" i="4" s="1"/>
  <c r="O201" i="4" a="1"/>
  <c r="O201" i="4" s="1"/>
  <c r="O202" i="4" a="1"/>
  <c r="O202" i="4" s="1"/>
  <c r="O203" i="4" a="1"/>
  <c r="O203" i="4" s="1"/>
  <c r="O204" i="4" a="1"/>
  <c r="O204" i="4" s="1"/>
  <c r="O205" i="4" a="1"/>
  <c r="O205" i="4" s="1"/>
  <c r="O206" i="4" a="1"/>
  <c r="O206" i="4" s="1"/>
  <c r="O207" i="4" a="1"/>
  <c r="O207" i="4" s="1"/>
  <c r="O208" i="4" a="1"/>
  <c r="O208" i="4" s="1"/>
  <c r="O209" i="4" a="1"/>
  <c r="O209" i="4" s="1"/>
  <c r="O210" i="4" a="1"/>
  <c r="O210" i="4" s="1"/>
  <c r="O211" i="4" a="1"/>
  <c r="O211" i="4" s="1"/>
  <c r="O212" i="4" a="1"/>
  <c r="O212" i="4" s="1"/>
  <c r="O213" i="4" a="1"/>
  <c r="O213" i="4" s="1"/>
  <c r="O214" i="4" a="1"/>
  <c r="O214" i="4" s="1"/>
  <c r="O215" i="4" a="1"/>
  <c r="O215" i="4" s="1"/>
  <c r="O216" i="4" a="1"/>
  <c r="O216" i="4" s="1"/>
  <c r="O217" i="4" a="1"/>
  <c r="O217" i="4" s="1"/>
  <c r="O218" i="4" a="1"/>
  <c r="O218" i="4" s="1"/>
  <c r="O219" i="4" a="1"/>
  <c r="O219" i="4" s="1"/>
  <c r="O220" i="4" a="1"/>
  <c r="O220" i="4" s="1"/>
  <c r="O221" i="4" a="1"/>
  <c r="O221" i="4" s="1"/>
  <c r="O222" i="4" a="1"/>
  <c r="O222" i="4" s="1"/>
  <c r="O223" i="4" a="1"/>
  <c r="O223" i="4" s="1"/>
  <c r="O224" i="4" a="1"/>
  <c r="O224" i="4" s="1"/>
  <c r="O225" i="4" a="1"/>
  <c r="O225" i="4" s="1"/>
  <c r="O226" i="4" a="1"/>
  <c r="O226" i="4" s="1"/>
  <c r="O227" i="4" a="1"/>
  <c r="O227" i="4" s="1"/>
  <c r="O228" i="4" a="1"/>
  <c r="O228" i="4" s="1"/>
  <c r="O229" i="4" a="1"/>
  <c r="O229" i="4" s="1"/>
  <c r="O230" i="4" a="1"/>
  <c r="O230" i="4" s="1"/>
  <c r="O231" i="4" a="1"/>
  <c r="O231" i="4" s="1"/>
  <c r="O232" i="4" a="1"/>
  <c r="O232" i="4" s="1"/>
  <c r="O233" i="4" a="1"/>
  <c r="O233" i="4" s="1"/>
  <c r="O234" i="4" a="1"/>
  <c r="O234" i="4" s="1"/>
  <c r="O235" i="4" a="1"/>
  <c r="O235" i="4" s="1"/>
  <c r="O236" i="4" a="1"/>
  <c r="O236" i="4" s="1"/>
  <c r="O237" i="4" a="1"/>
  <c r="O237" i="4" s="1"/>
  <c r="O238" i="4" a="1"/>
  <c r="O238" i="4" s="1"/>
  <c r="O239" i="4" a="1"/>
  <c r="O239" i="4" s="1"/>
  <c r="O240" i="4" a="1"/>
  <c r="O240" i="4" s="1"/>
  <c r="O241" i="4" a="1"/>
  <c r="O241" i="4" s="1"/>
  <c r="O242" i="4" a="1"/>
  <c r="O242" i="4" s="1"/>
  <c r="O243" i="4" a="1"/>
  <c r="O243" i="4" s="1"/>
  <c r="O244" i="4" a="1"/>
  <c r="O244" i="4" s="1"/>
  <c r="O245" i="4" a="1"/>
  <c r="O245" i="4" s="1"/>
  <c r="O246" i="4" a="1"/>
  <c r="O246" i="4" s="1"/>
  <c r="O247" i="4" a="1"/>
  <c r="O247" i="4" s="1"/>
  <c r="O248" i="4" a="1"/>
  <c r="O248" i="4" s="1"/>
  <c r="O249" i="4" a="1"/>
  <c r="O249" i="4" s="1"/>
  <c r="O250" i="4" a="1"/>
  <c r="O250" i="4" s="1"/>
  <c r="O251" i="4" a="1"/>
  <c r="O251" i="4" s="1"/>
  <c r="O252" i="4" a="1"/>
  <c r="O252" i="4" s="1"/>
  <c r="O253" i="4" a="1"/>
  <c r="O253" i="4" s="1"/>
  <c r="O254" i="4" a="1"/>
  <c r="O254" i="4" s="1"/>
  <c r="O255" i="4" a="1"/>
  <c r="O255" i="4" s="1"/>
  <c r="O256" i="4" a="1"/>
  <c r="O256" i="4" s="1"/>
  <c r="O257" i="4" a="1"/>
  <c r="O257" i="4" s="1"/>
  <c r="O258" i="4" a="1"/>
  <c r="O258" i="4" s="1"/>
  <c r="O259" i="4" a="1"/>
  <c r="O259" i="4" s="1"/>
  <c r="O260" i="4" a="1"/>
  <c r="O260" i="4" s="1"/>
  <c r="O261" i="4" a="1"/>
  <c r="O261" i="4" s="1"/>
  <c r="O262" i="4" a="1"/>
  <c r="O262" i="4" s="1"/>
  <c r="O263" i="4" a="1"/>
  <c r="O263" i="4" s="1"/>
  <c r="O264" i="4" a="1"/>
  <c r="O264" i="4" s="1"/>
  <c r="O265" i="4" a="1"/>
  <c r="O265" i="4" s="1"/>
  <c r="O266" i="4" a="1"/>
  <c r="O266" i="4" s="1"/>
  <c r="O267" i="4" a="1"/>
  <c r="O267" i="4" s="1"/>
  <c r="O268" i="4" a="1"/>
  <c r="O268" i="4" s="1"/>
  <c r="O269" i="4" a="1"/>
  <c r="O269" i="4" s="1"/>
  <c r="O270" i="4" a="1"/>
  <c r="O270" i="4" s="1"/>
  <c r="O271" i="4" a="1"/>
  <c r="O271" i="4" s="1"/>
  <c r="O272" i="4" a="1"/>
  <c r="O272" i="4" s="1"/>
  <c r="O273" i="4" a="1"/>
  <c r="O273" i="4" s="1"/>
  <c r="O274" i="4" a="1"/>
  <c r="O274" i="4" s="1"/>
  <c r="O275" i="4" a="1"/>
  <c r="O275" i="4" s="1"/>
  <c r="O276" i="4" a="1"/>
  <c r="O276" i="4" s="1"/>
  <c r="O277" i="4" a="1"/>
  <c r="O277" i="4" s="1"/>
  <c r="O278" i="4" a="1"/>
  <c r="O278" i="4" s="1"/>
  <c r="O279" i="4" a="1"/>
  <c r="O279" i="4" s="1"/>
  <c r="O280" i="4" a="1"/>
  <c r="O280" i="4" s="1"/>
  <c r="O281" i="4" a="1"/>
  <c r="O281" i="4" s="1"/>
  <c r="O282" i="4" a="1"/>
  <c r="O282" i="4" s="1"/>
  <c r="O283" i="4" a="1"/>
  <c r="O283" i="4" s="1"/>
  <c r="O284" i="4" a="1"/>
  <c r="O284" i="4" s="1"/>
  <c r="O285" i="4" a="1"/>
  <c r="O285" i="4" s="1"/>
  <c r="O286" i="4" a="1"/>
  <c r="O286" i="4" s="1"/>
  <c r="O287" i="4" a="1"/>
  <c r="O287" i="4" s="1"/>
  <c r="O288" i="4" a="1"/>
  <c r="O288" i="4" s="1"/>
  <c r="O289" i="4" a="1"/>
  <c r="O289" i="4" s="1"/>
  <c r="O290" i="4" a="1"/>
  <c r="O290" i="4" s="1"/>
  <c r="O291" i="4" a="1"/>
  <c r="O291" i="4" s="1"/>
  <c r="O292" i="4" a="1"/>
  <c r="O292" i="4" s="1"/>
  <c r="O293" i="4" a="1"/>
  <c r="O293" i="4" s="1"/>
  <c r="O294" i="4" a="1"/>
  <c r="O294" i="4" s="1"/>
  <c r="O295" i="4" a="1"/>
  <c r="O295" i="4" s="1"/>
  <c r="O296" i="4" a="1"/>
  <c r="O296" i="4" s="1"/>
  <c r="O297" i="4" a="1"/>
  <c r="O297" i="4" s="1"/>
  <c r="O298" i="4" a="1"/>
  <c r="O298" i="4" s="1"/>
  <c r="O299" i="4" a="1"/>
  <c r="O299" i="4" s="1"/>
  <c r="O300" i="4" a="1"/>
  <c r="O300" i="4" s="1"/>
  <c r="O301" i="4" a="1"/>
  <c r="O301" i="4" s="1"/>
  <c r="O302" i="4" a="1"/>
  <c r="O302" i="4" s="1"/>
  <c r="O303" i="4" a="1"/>
  <c r="O303" i="4" s="1"/>
  <c r="O304" i="4" a="1"/>
  <c r="O304" i="4" s="1"/>
  <c r="O305" i="4" a="1"/>
  <c r="O305" i="4" s="1"/>
  <c r="O306" i="4" a="1"/>
  <c r="O306" i="4" s="1"/>
  <c r="O307" i="4" a="1"/>
  <c r="O307" i="4" s="1"/>
  <c r="O308" i="4" a="1"/>
  <c r="O308" i="4" s="1"/>
  <c r="O309" i="4" a="1"/>
  <c r="O309" i="4" s="1"/>
  <c r="O310" i="4" a="1"/>
  <c r="O310" i="4" s="1"/>
  <c r="O311" i="4" a="1"/>
  <c r="O311" i="4" s="1"/>
  <c r="O312" i="4" a="1"/>
  <c r="O312" i="4" s="1"/>
  <c r="O313" i="4" a="1"/>
  <c r="O313" i="4" s="1"/>
  <c r="O314" i="4" a="1"/>
  <c r="O314" i="4" s="1"/>
  <c r="O315" i="4" a="1"/>
  <c r="O315" i="4" s="1"/>
  <c r="O316" i="4" a="1"/>
  <c r="O316" i="4" s="1"/>
  <c r="O317" i="4" a="1"/>
  <c r="O317" i="4" s="1"/>
  <c r="O318" i="4" a="1"/>
  <c r="O318" i="4" s="1"/>
  <c r="O319" i="4" a="1"/>
  <c r="O319" i="4" s="1"/>
  <c r="O320" i="4" a="1"/>
  <c r="O320" i="4" s="1"/>
  <c r="O321" i="4" a="1"/>
  <c r="O321" i="4" s="1"/>
  <c r="O322" i="4" a="1"/>
  <c r="O322" i="4" s="1"/>
  <c r="O323" i="4" a="1"/>
  <c r="O323" i="4" s="1"/>
  <c r="O324" i="4" a="1"/>
  <c r="O324" i="4" s="1"/>
  <c r="O325" i="4" a="1"/>
  <c r="O325" i="4" s="1"/>
  <c r="O326" i="4" a="1"/>
  <c r="O326" i="4" s="1"/>
  <c r="O327" i="4" a="1"/>
  <c r="O327" i="4" s="1"/>
  <c r="O328" i="4" a="1"/>
  <c r="O328" i="4" s="1"/>
  <c r="O329" i="4" a="1"/>
  <c r="O329" i="4" s="1"/>
  <c r="O330" i="4" a="1"/>
  <c r="O330" i="4" s="1"/>
  <c r="O331" i="4" a="1"/>
  <c r="O331" i="4" s="1"/>
  <c r="O332" i="4" a="1"/>
  <c r="O332" i="4" s="1"/>
  <c r="O333" i="4" a="1"/>
  <c r="O333" i="4" s="1"/>
  <c r="O334" i="4" a="1"/>
  <c r="O334" i="4" s="1"/>
  <c r="O335" i="4" a="1"/>
  <c r="O335" i="4" s="1"/>
  <c r="O336" i="4" a="1"/>
  <c r="O336" i="4" s="1"/>
  <c r="O337" i="4" a="1"/>
  <c r="O337" i="4" s="1"/>
  <c r="O338" i="4" a="1"/>
  <c r="O338" i="4" s="1"/>
  <c r="O339" i="4" a="1"/>
  <c r="O339" i="4" s="1"/>
  <c r="O340" i="4" a="1"/>
  <c r="O340" i="4" s="1"/>
  <c r="O341" i="4" a="1"/>
  <c r="O341" i="4" s="1"/>
  <c r="O342" i="4" a="1"/>
  <c r="O342" i="4" s="1"/>
  <c r="O343" i="4" a="1"/>
  <c r="O343" i="4" s="1"/>
  <c r="O344" i="4" a="1"/>
  <c r="O344" i="4" s="1"/>
  <c r="O345" i="4" a="1"/>
  <c r="O345" i="4" s="1"/>
  <c r="O346" i="4" a="1"/>
  <c r="O346" i="4" s="1"/>
  <c r="O347" i="4" a="1"/>
  <c r="O347" i="4" s="1"/>
  <c r="O348" i="4" a="1"/>
  <c r="O348" i="4" s="1"/>
  <c r="O349" i="4" a="1"/>
  <c r="O349" i="4" s="1"/>
  <c r="O350" i="4" a="1"/>
  <c r="O350" i="4" s="1"/>
  <c r="O351" i="4" a="1"/>
  <c r="O351" i="4" s="1"/>
  <c r="O352" i="4" a="1"/>
  <c r="O352" i="4" s="1"/>
  <c r="O353" i="4" a="1"/>
  <c r="O353" i="4" s="1"/>
  <c r="O354" i="4" a="1"/>
  <c r="O354" i="4" s="1"/>
  <c r="O355" i="4" a="1"/>
  <c r="O355" i="4" s="1"/>
  <c r="O356" i="4" a="1"/>
  <c r="O356" i="4" s="1"/>
  <c r="O357" i="4" a="1"/>
  <c r="O357" i="4" s="1"/>
  <c r="O358" i="4" a="1"/>
  <c r="O358" i="4" s="1"/>
  <c r="O359" i="4" a="1"/>
  <c r="O359" i="4" s="1"/>
  <c r="O360" i="4" a="1"/>
  <c r="O360" i="4" s="1"/>
  <c r="O361" i="4" a="1"/>
  <c r="O361" i="4" s="1"/>
  <c r="O362" i="4" a="1"/>
  <c r="O362" i="4" s="1"/>
  <c r="O363" i="4" a="1"/>
  <c r="O363" i="4" s="1"/>
  <c r="O364" i="4" a="1"/>
  <c r="O364" i="4" s="1"/>
  <c r="O365" i="4" a="1"/>
  <c r="O365" i="4" s="1"/>
  <c r="O366" i="4" a="1"/>
  <c r="O366" i="4" s="1"/>
  <c r="O367" i="4" a="1"/>
  <c r="O367" i="4" s="1"/>
  <c r="O368" i="4" a="1"/>
  <c r="O368" i="4" s="1"/>
  <c r="O369" i="4" a="1"/>
  <c r="O369" i="4" s="1"/>
  <c r="O370" i="4" a="1"/>
  <c r="O370" i="4" s="1"/>
  <c r="O371" i="4" a="1"/>
  <c r="O371" i="4" s="1"/>
  <c r="O372" i="4" a="1"/>
  <c r="O372" i="4" s="1"/>
  <c r="O373" i="4" a="1"/>
  <c r="O373" i="4" s="1"/>
  <c r="O374" i="4" a="1"/>
  <c r="O374" i="4" s="1"/>
  <c r="O375" i="4" a="1"/>
  <c r="O375" i="4" s="1"/>
  <c r="O376" i="4" a="1"/>
  <c r="O376" i="4" s="1"/>
  <c r="O377" i="4" a="1"/>
  <c r="O377" i="4" s="1"/>
  <c r="O378" i="4" a="1"/>
  <c r="O378" i="4" s="1"/>
  <c r="O379" i="4" a="1"/>
  <c r="O379" i="4" s="1"/>
  <c r="O380" i="4" a="1"/>
  <c r="O380" i="4" s="1"/>
  <c r="O381" i="4" a="1"/>
  <c r="O381" i="4" s="1"/>
  <c r="O382" i="4" a="1"/>
  <c r="O382" i="4" s="1"/>
  <c r="O383" i="4" a="1"/>
  <c r="O383" i="4" s="1"/>
  <c r="O384" i="4" a="1"/>
  <c r="O384" i="4" s="1"/>
  <c r="O385" i="4" a="1"/>
  <c r="O385" i="4" s="1"/>
  <c r="O386" i="4" a="1"/>
  <c r="O386" i="4" s="1"/>
  <c r="O387" i="4" a="1"/>
  <c r="O387" i="4" s="1"/>
  <c r="O388" i="4" a="1"/>
  <c r="O388" i="4" s="1"/>
  <c r="O389" i="4" a="1"/>
  <c r="O389" i="4" s="1"/>
  <c r="O390" i="4" a="1"/>
  <c r="O390" i="4" s="1"/>
  <c r="O391" i="4" a="1"/>
  <c r="O391"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<sst xmlns="http://schemas.openxmlformats.org/spreadsheetml/2006/main" count="6640" uniqueCount="841">
  <si>
    <t>principio</t>
  </si>
  <si>
    <t>Domanda</t>
  </si>
  <si>
    <t>opzione 1</t>
  </si>
  <si>
    <t>opzione 2</t>
  </si>
  <si>
    <t>opzione 3</t>
  </si>
  <si>
    <t>opzione 4</t>
  </si>
  <si>
    <t>opzione 5</t>
  </si>
  <si>
    <t>opzione 6</t>
  </si>
  <si>
    <t>opzione 7</t>
  </si>
  <si>
    <t>opzione 8</t>
  </si>
  <si>
    <t>opzione 9</t>
  </si>
  <si>
    <t>opzione 10</t>
  </si>
  <si>
    <t>Vision, mission e valori auxiell</t>
  </si>
  <si>
    <t>Qual è il why di auxiell?</t>
  </si>
  <si>
    <t>Leading by example</t>
  </si>
  <si>
    <t>Analizziamo, riprogettiamo e trasformiamo i processi delle aziende che vogliono aumentare le proprie performance</t>
  </si>
  <si>
    <t>Cos'è il lean system?</t>
  </si>
  <si>
    <t>È un sistema, fatto di principi, tecniche e metodi e strumenti</t>
  </si>
  <si>
    <t>Quali sono gli ambiti d'azione di auxiell?</t>
  </si>
  <si>
    <t>Quali sono i competitors di auxiell?</t>
  </si>
  <si>
    <t>Considi</t>
  </si>
  <si>
    <t>Bonfiglioli</t>
  </si>
  <si>
    <t>Accenture</t>
  </si>
  <si>
    <t>Deloitte</t>
  </si>
  <si>
    <t>Toyota</t>
  </si>
  <si>
    <t>Il sole 24 ore</t>
  </si>
  <si>
    <t>È la fase di misurazione e analisi dei processi dell’azienda allo stato attuale</t>
  </si>
  <si>
    <t>È la fase di riprogettazione dell'azienda</t>
  </si>
  <si>
    <t>È la fase di implementazione degli strumenti</t>
  </si>
  <si>
    <t>Che tipologie di feedback ci sono?</t>
  </si>
  <si>
    <t>Rafforzativo</t>
  </si>
  <si>
    <t>Difensivo</t>
  </si>
  <si>
    <t>Competitivo</t>
  </si>
  <si>
    <t>Correttivo</t>
  </si>
  <si>
    <t>Rafforzativo;Correttivo</t>
  </si>
  <si>
    <t>Valore per il cliente</t>
  </si>
  <si>
    <t>Cosa si intende per "valore per il cliente"?</t>
  </si>
  <si>
    <t>Quali sono le attività fondamentali di un processo?</t>
  </si>
  <si>
    <t>Lavorazione</t>
  </si>
  <si>
    <t>Trasporto</t>
  </si>
  <si>
    <t>Pulizia</t>
  </si>
  <si>
    <t>Ispezione</t>
  </si>
  <si>
    <t>Attesa</t>
  </si>
  <si>
    <t>Lavorazione;trasporto;ispezione;attesa</t>
  </si>
  <si>
    <t>Tre flussi del valore</t>
  </si>
  <si>
    <t>Qual è la definizione di processo?</t>
  </si>
  <si>
    <t>Qual è la definizione di operazione?</t>
  </si>
  <si>
    <t>Attività che coinvolge persone o materiali modificandone lo stato</t>
  </si>
  <si>
    <t>Unità elementare di lavoro che fa variare lo stato o la posizione nello spazio di un oggetto materiale, immateriale o di una persona</t>
  </si>
  <si>
    <t>Flusso informativo, flusso produttivo, flusso operativo, workflow</t>
  </si>
  <si>
    <t>Flusso informativo, flusso operativo, workflow</t>
  </si>
  <si>
    <t>Flusso produttivo, flusso operativo, workflow</t>
  </si>
  <si>
    <t>Flusso informativo, flusso produttivo, workflow</t>
  </si>
  <si>
    <t>Eliminazione degli sprechi</t>
  </si>
  <si>
    <t>Quali sono i sette muda?</t>
  </si>
  <si>
    <t>Sovrapproduzione, attese, trasporti, processi non corretti, scorte, movimenti, rilavorazioni</t>
  </si>
  <si>
    <t>Sovrapproduzione, attese, trasporti, processi non corretti, scorte, movimenti, difetti</t>
  </si>
  <si>
    <t>Sovrapproduzione, attese, trasporti, processi non corretti, scorte, movimenti, controllo qualità</t>
  </si>
  <si>
    <t>Sovrapproduzione, attese, trasporti, processi non corretti, scorte, movimenti, talento inutilizzato</t>
  </si>
  <si>
    <t>Perché la "sovrapproduzione" è definito come il muda più pericoloso?</t>
  </si>
  <si>
    <t>Perché può generare a cascata tutti gli altri muda</t>
  </si>
  <si>
    <t>Perché causa rallentamenti nelle consegne al cliente</t>
  </si>
  <si>
    <t>Perché aumenta la quantità di materiale in circolazione, complicando la gestione operativa</t>
  </si>
  <si>
    <t>Perché può mascherare inefficienze nelle fasi a valle che restano non individuate</t>
  </si>
  <si>
    <t>Collegamento alla domanda</t>
  </si>
  <si>
    <t>Quali sono le metriche per misurare un processo?</t>
  </si>
  <si>
    <t>Qualità, costi e tempi</t>
  </si>
  <si>
    <t>Qualità, costi e efficienza</t>
  </si>
  <si>
    <t>Qualità, tempi e produttività</t>
  </si>
  <si>
    <t>Costi, tempi e flessibilità</t>
  </si>
  <si>
    <t>Tempo richiesto per spostare un’unità di prodotto tra due fasi consecutive del processo</t>
  </si>
  <si>
    <t>Tempo totale trascorso tra l’inizio e la fine di tutte le attività che coinvolgono il prodotto, incluse le attese</t>
  </si>
  <si>
    <t>Tempo effettivo impiegato da una singola risorsa trasformante per processare interamente un'unità di prodotto, senza interruzioni</t>
  </si>
  <si>
    <t>Tempo necessario a tutte le risorse coinvolte per completare un lotto di produzione</t>
  </si>
  <si>
    <t>Rappresenta il ritmo della domanda</t>
  </si>
  <si>
    <t>Rappresenta il tempo minimo di attesa tra due processi consecutivi</t>
  </si>
  <si>
    <t>248s</t>
  </si>
  <si>
    <t>252 s</t>
  </si>
  <si>
    <t>Rappresenta il ritmo della produzione, ed indica quanto tempo passa, in media, tra l'uscita di due pezzi consecutivi dal processo (o dall'operazione)</t>
  </si>
  <si>
    <t>Il numero di risorse è determinato sulla base del lead time di risposta al mercato</t>
  </si>
  <si>
    <t>Il numero di risorse è determinato sulla base del throughput time</t>
  </si>
  <si>
    <t>Il numero di risorse è determinato sulla base del takt time</t>
  </si>
  <si>
    <t>Da cosa dipende il modello organizzativo da utilizzare?</t>
  </si>
  <si>
    <t>Takt time e cycle time</t>
  </si>
  <si>
    <t>Cos'è il kanban?</t>
  </si>
  <si>
    <t>È uno strumento per il controllo del flusso pull disaccoppiato</t>
  </si>
  <si>
    <t>È un metodo per automatizzare il processo di approvvigionamento materiali</t>
  </si>
  <si>
    <t>È un sistema con uno o più cartellini che per gestire un sistema pull</t>
  </si>
  <si>
    <t>È un principio del lean system</t>
  </si>
  <si>
    <t>Miglioramento continuo</t>
  </si>
  <si>
    <t>Quali sono le caratteristiche di un KPI?</t>
  </si>
  <si>
    <t>Specifico, misurabile, condiviso, rilevante, temporale</t>
  </si>
  <si>
    <t>Specifico, misurabile, adottabile, flessibile, temporale</t>
  </si>
  <si>
    <t>Specifico, misurabile, adottabile, rilevante, periodico</t>
  </si>
  <si>
    <t>Coinvolgimento di tutti</t>
  </si>
  <si>
    <t>Quali sono le tipologie di comportamenti all'interno di un team?</t>
  </si>
  <si>
    <t>Oppositori, resistenti, collaboratori</t>
  </si>
  <si>
    <t>Osservatori, resistenti, innovatori</t>
  </si>
  <si>
    <t>Oppositori, resilienti, innovatori</t>
  </si>
  <si>
    <t>1,95gg</t>
  </si>
  <si>
    <t>2,00gg</t>
  </si>
  <si>
    <t>1,90gg</t>
  </si>
  <si>
    <t>2,10gg</t>
  </si>
  <si>
    <t>Come si calcola l'indice di flusso?</t>
  </si>
  <si>
    <t>Cosa sta a signficare un indice di flusso pari a 1?</t>
  </si>
  <si>
    <t>Se l'indice di flusso è pari a 1 significa che la somma dei tempi ciclo è pari al tempo di attraversamento</t>
  </si>
  <si>
    <t>Se l'indice di flusso è pari a 1 significa che il tempo di trasformazione è pari al tempo di attraversamento</t>
  </si>
  <si>
    <t>Se l'indice di flusso è pari a 1 significa che il tempo di trasformazione è pari alla somma dei tempi ciclo</t>
  </si>
  <si>
    <t>Se l'indice di flusso è pari a 1 significa che il processo è perfettamente livellato</t>
  </si>
  <si>
    <t>Metodo per raccogliere opinioni diverse sul problema e valutarle secondo priorità</t>
  </si>
  <si>
    <t>Strumento per individuare rapidamente la soluzione più semplice tra varie opzioni possibili</t>
  </si>
  <si>
    <t>Tecnica per classificare i problemi in base al loro impatto sulle attività produttive</t>
  </si>
  <si>
    <t>Strumento utile a tracciare la catena di causalità partendo dall’effetto per arrivare alla causa radice di un problema</t>
  </si>
  <si>
    <t>5S</t>
  </si>
  <si>
    <t>In che principio si colloca la tecnica 5S?</t>
  </si>
  <si>
    <t>Selezionare, ordinare, pulire, standardizzare, sostenere</t>
  </si>
  <si>
    <t>Selezionare, pulire, ordinare, standardizzare, sostenere</t>
  </si>
  <si>
    <t>Selezionare, ordinare, pulire, sostenere, standardizzare</t>
  </si>
  <si>
    <t>Ordinare, selezionare, pulire, standardizzare, sostenere</t>
  </si>
  <si>
    <t>SMED</t>
  </si>
  <si>
    <t>Qual è la differenza tra IED e OED?</t>
  </si>
  <si>
    <t>Cambio stampo</t>
  </si>
  <si>
    <t>Preparazione</t>
  </si>
  <si>
    <t>Test</t>
  </si>
  <si>
    <t xml:space="preserve">Perché la presenza di attese, stock intermedi, rilavorazioni e trasferimenti genera sprechi che allungano il lead time rispetto al tempo di trasformazione reale
</t>
  </si>
  <si>
    <t xml:space="preserve">Perché i materiali hanno bisogno di essere controllati costantemente durante tutte le fasi di lavorazione
</t>
  </si>
  <si>
    <t>Perché il processo produttivo viene spesso rallentato dalla necessità di test e controlli qualità su ogni singolo pezzo</t>
  </si>
  <si>
    <t>Perché gli operatori all'interno di un reparto non sono polivalenti</t>
  </si>
  <si>
    <t>Perché dividere il processo in blocchi separati genera sprechi</t>
  </si>
  <si>
    <t>Perché permette di avere una visione a 360 gradi su quello che si sta analizzando</t>
  </si>
  <si>
    <t>Perché consente di identificare automaticamente tutte le soluzioni ai problemi riscontrati</t>
  </si>
  <si>
    <t>Perché aiuta a velocizzare le decisioni senza coinvolgere i vari reparti</t>
  </si>
  <si>
    <t>Perché garantisce il rispetto delle normative di sicurezza in ogni fase del processo</t>
  </si>
  <si>
    <t>Quale delle seguenti situazioni rappresenta un miglioramento del workflow?</t>
  </si>
  <si>
    <t>Eliminare un trasporto non necessario tra due stazioni</t>
  </si>
  <si>
    <t>Automatizzare l'invio degli ordini al fornitore</t>
  </si>
  <si>
    <t>Formare un operatore per usare due macchine diverse</t>
  </si>
  <si>
    <t>Organizzare la produzione in modo da poter cambiare la sequenza di produzione per una commessa urgente</t>
  </si>
  <si>
    <t>Gli ordini vengono evasi nei tempi medi ma con forte variabilità nei lead time cliente</t>
  </si>
  <si>
    <t>Gli operatori ruotano spesso tra le postazioni senza formazione</t>
  </si>
  <si>
    <t>Quale tra le seguenti affermazioni rappresenta un errore concettuale comune nella progettazione dei tre flussi?</t>
  </si>
  <si>
    <t xml:space="preserve">Il flusso informativo deve essere progettato in base al tipo di trasformazione
</t>
  </si>
  <si>
    <t>È necessario integrare i tre flussi per ridurre il lead time cliente</t>
  </si>
  <si>
    <t>Quale delle seguenti azioni è più efficace per eliminare sprechi strutturali (e non solo sintomatici)?</t>
  </si>
  <si>
    <t>Quale tipo di spreco è tipicamente causato da un flusso informativo mal progettato, più che da un errore operativo?</t>
  </si>
  <si>
    <t/>
  </si>
  <si>
    <t>Quando è possibile progettare un flusso realmente sincronizzato alla domanda del cliente?</t>
  </si>
  <si>
    <t>Sistema strategico</t>
  </si>
  <si>
    <t>Perché, secondo il principio del sistema strategico, non basta applicare tecniche locali di miglioramento?</t>
  </si>
  <si>
    <t>Cosa viene riportato sul flusso operativo?</t>
  </si>
  <si>
    <t>Fornitori e clienti</t>
  </si>
  <si>
    <t>Sequenza delle operazioni</t>
  </si>
  <si>
    <t>Flusso dei materiali</t>
  </si>
  <si>
    <t>Presenza di scorte</t>
  </si>
  <si>
    <t>Flusso fisico delle informazioni</t>
  </si>
  <si>
    <t>Punti di elaborazione dei dati</t>
  </si>
  <si>
    <t>Kanban</t>
  </si>
  <si>
    <t>Tempo in cui il prodotto rimane in attesa</t>
  </si>
  <si>
    <t>Tempo nel quale il prodotto viene lavorato</t>
  </si>
  <si>
    <t>Fornitori e clienti;Sequenza delle operazioni;Flusso dei materiali;Presenza di scorte</t>
  </si>
  <si>
    <t>Flusso fisico delle informazioni;Punti di elaborazione dei dati;Kanban</t>
  </si>
  <si>
    <t>Cosa viene riportato sulla timeline?</t>
  </si>
  <si>
    <t>Tempo in cui il prodotto rimane in attesa;Tempo nel quale il prodotto viene lavorato</t>
  </si>
  <si>
    <t>Disegnare la domanda del processo</t>
  </si>
  <si>
    <t>Mappare le fasi e gli stock</t>
  </si>
  <si>
    <t>Inserire e popolare i data box</t>
  </si>
  <si>
    <t>Disegnare i flussi informativi</t>
  </si>
  <si>
    <t>Rappresentare la mappatura con la timeline</t>
  </si>
  <si>
    <t>0,8h/lavatrice</t>
  </si>
  <si>
    <t>1,6h/lavatrice</t>
  </si>
  <si>
    <t>0,4h/lavatrice</t>
  </si>
  <si>
    <t>3,2h/lavatrice</t>
  </si>
  <si>
    <t>5 giorni</t>
  </si>
  <si>
    <t>13 giorni</t>
  </si>
  <si>
    <t>1 giorno</t>
  </si>
  <si>
    <t>8 giorni</t>
  </si>
  <si>
    <t>1000 minuti</t>
  </si>
  <si>
    <t>500 minuti</t>
  </si>
  <si>
    <t>2000 minuti</t>
  </si>
  <si>
    <t>5sec/pz</t>
  </si>
  <si>
    <t>10sec/pz</t>
  </si>
  <si>
    <t>7,5sec/pz</t>
  </si>
  <si>
    <t>3,3sec/pz</t>
  </si>
  <si>
    <t>15sec/pz</t>
  </si>
  <si>
    <t>8sec/pz</t>
  </si>
  <si>
    <t>11,5sec/pz</t>
  </si>
  <si>
    <t>5,2sec/pz</t>
  </si>
  <si>
    <t>6sec/pz</t>
  </si>
  <si>
    <t>2sec/pz</t>
  </si>
  <si>
    <t>4sec/pz</t>
  </si>
  <si>
    <t>1,5sec/pz</t>
  </si>
  <si>
    <t>Si genera confusione sui criteri di valutazione</t>
  </si>
  <si>
    <t>Si compromette la standardizzazione</t>
  </si>
  <si>
    <t>Si rende difficile il mantenimento delle buone pratiche</t>
  </si>
  <si>
    <t>Si abbassa la produttività giornaliera</t>
  </si>
  <si>
    <t>Si perde la possibilità di individuare anomalie e difetti</t>
  </si>
  <si>
    <t>Si aumenta la necessità di interventi manutentivi straordinari</t>
  </si>
  <si>
    <t>Si moltiplicano le attività di riparazione</t>
  </si>
  <si>
    <t>Si rischia di inibire la responsabilizzazione spontanea delle persone</t>
  </si>
  <si>
    <t>Si rischia di aumentare la confusione sugli standard applicativi</t>
  </si>
  <si>
    <t>Si rischia di non avere standard uniformi all'interno dello stabilimento</t>
  </si>
  <si>
    <t>Produttività</t>
  </si>
  <si>
    <t>Sicurezza sul lavoro</t>
  </si>
  <si>
    <t>Nessuna delle precedenti</t>
  </si>
  <si>
    <t>Pulire</t>
  </si>
  <si>
    <t>Standardizzare</t>
  </si>
  <si>
    <t>Separare</t>
  </si>
  <si>
    <t>Sostenere</t>
  </si>
  <si>
    <t>Ordinare</t>
  </si>
  <si>
    <t>Si</t>
  </si>
  <si>
    <t>No</t>
  </si>
  <si>
    <t>In parte</t>
  </si>
  <si>
    <t>Mario ha fatto decision making e non problem solving</t>
  </si>
  <si>
    <t>Mario ha utilizzato un approccio istintivo anziché scientifico</t>
  </si>
  <si>
    <t>Mario ha fatto in maniera troppo approssimativa il problem solving</t>
  </si>
  <si>
    <t>Problem solving</t>
  </si>
  <si>
    <t>Decision making</t>
  </si>
  <si>
    <t>L'effetto del problema</t>
  </si>
  <si>
    <t>Gli operatori non seguono sempre la stessa sequenza di montaggio</t>
  </si>
  <si>
    <t>Gli strumenti di montaggio sono usurati</t>
  </si>
  <si>
    <t>Trasportare le nuove attrezzature vicino alla macchina</t>
  </si>
  <si>
    <t>P</t>
  </si>
  <si>
    <t>C</t>
  </si>
  <si>
    <t>R</t>
  </si>
  <si>
    <t>T</t>
  </si>
  <si>
    <t>A</t>
  </si>
  <si>
    <t>B</t>
  </si>
  <si>
    <t>X</t>
  </si>
  <si>
    <t>Y</t>
  </si>
  <si>
    <t>Z</t>
  </si>
  <si>
    <t>Pull system</t>
  </si>
  <si>
    <t>Mantenere la scorta per sicurezza, ma gestirla tramite due contenitori</t>
  </si>
  <si>
    <t>Ridurre le scorte e passare a una logica di riordino periodico fisso</t>
  </si>
  <si>
    <t>Valutare la rimozione a magazzino e ordinarlo solo in caso di richiesta</t>
  </si>
  <si>
    <t>Riconvertire la gestione in kanban con una sola etichetta attiva</t>
  </si>
  <si>
    <t>La soluzione consente di aumentare l’indice di rotazione annuale</t>
  </si>
  <si>
    <t>Acquistato periodicamente in piccoli lotti per ridurre i tempi di approvvigionamento</t>
  </si>
  <si>
    <t>Ordinato solo in caso di necessità, su richiesta specifica</t>
  </si>
  <si>
    <t>Un errore di etichettatura nel lotto</t>
  </si>
  <si>
    <t>Un eccesso di richieste da parte del cliente finale</t>
  </si>
  <si>
    <t>Un cambiamento nel layout di magazzino</t>
  </si>
  <si>
    <t>Che il contenitore è stato rifiutato dal controllo qualità</t>
  </si>
  <si>
    <t>Che il processo a monte deve riavviare la produzione di quel componente</t>
  </si>
  <si>
    <t>Che si è raggiunta la scorta massima disponibile</t>
  </si>
  <si>
    <t>Che l’ordine cliente è stato completato</t>
  </si>
  <si>
    <t>Ignorare i segnali kanban e produrre comunque per saturare la macchina</t>
  </si>
  <si>
    <t>Il sistema continua a funzionare normalmente</t>
  </si>
  <si>
    <t>Il segnale di rifornimento non viene attivato, creando un rischio di rottura di stock</t>
  </si>
  <si>
    <t>La produzione viene automaticamente interrotta a monte</t>
  </si>
  <si>
    <t>Aumento del tempo ciclo per l’ordine cliente</t>
  </si>
  <si>
    <t>Eccesso di scorte e interruzione della logica pull</t>
  </si>
  <si>
    <t>Diminuzione delle rilavorazioni</t>
  </si>
  <si>
    <t>Il segnale di riordino non verrà mai attivato</t>
  </si>
  <si>
    <t>Qual è il vantaggio di usare un supermarket interno rispetto alla produzione diretta su richiesta?</t>
  </si>
  <si>
    <t>Consente di compensare fluttuazioni tra processi</t>
  </si>
  <si>
    <t>Aumenta la quantità di materiale disponibile in produzione</t>
  </si>
  <si>
    <t>Corretta</t>
  </si>
  <si>
    <t>Se un cambiamento è stato misurato e funziona, ma non viene standardizzato, il rischio principale è che venga dimenticato.</t>
  </si>
  <si>
    <t>Un miglioramento può essere standardizzato anche se non applicabile in tutte le aree, purché sia efficace nel contesto locale.</t>
  </si>
  <si>
    <t>Il flusso informativo è incoerente e non standardizzato</t>
  </si>
  <si>
    <t>Migliorare il flusso informativo spesso risolve i problemi operativi</t>
  </si>
  <si>
    <t>Standardizzare le componenti per ridurre la varietà e i set-up</t>
  </si>
  <si>
    <t>Il workflow dovrebbe adattarsi alle esigenze del flusso operativo</t>
  </si>
  <si>
    <t>4,08€/pz</t>
  </si>
  <si>
    <t>3,05 €/pezzo</t>
  </si>
  <si>
    <t>4,20€/pz</t>
  </si>
  <si>
    <t>3,86€/pz</t>
  </si>
  <si>
    <t>Cosa significa riprogettare un processo?</t>
  </si>
  <si>
    <t>Riprogettare un processo_x000B_significa eliminare tutti gli ostacoli per assicurarne lo scorrere dei flussi</t>
  </si>
  <si>
    <t>Cosa succede se un processo non è correttamente collegato alla domanda?</t>
  </si>
  <si>
    <t>Si generano sprechi (ritardi, scorte, attese, ecc.)</t>
  </si>
  <si>
    <t>Qual è il modo più efficace per gestire un team</t>
  </si>
  <si>
    <t>Performance by processes</t>
  </si>
  <si>
    <t>È una raccolta di strumenti per ridurre i costi</t>
  </si>
  <si>
    <t>È una procedura per implementare il kanban</t>
  </si>
  <si>
    <t>È una metodologia per migliorare l'efficienza</t>
  </si>
  <si>
    <t>5w2h</t>
  </si>
  <si>
    <t>Lga+lrm</t>
  </si>
  <si>
    <t>Complete lean trasformation</t>
  </si>
  <si>
    <t>Porsche consulting</t>
  </si>
  <si>
    <t>Efeso consulting</t>
  </si>
  <si>
    <t>Mckinsey</t>
  </si>
  <si>
    <t>Ibm</t>
  </si>
  <si>
    <t>Cos'è la lean gap analysis®?</t>
  </si>
  <si>
    <t>Cos'è la lean roadmap®?</t>
  </si>
  <si>
    <t>È tutto quello per il quale il cliente sarebbe disposto a pagare</t>
  </si>
  <si>
    <t>È tutto quello per il quale il cliente è disposto a pagare</t>
  </si>
  <si>
    <t>È il beneficio che il cliente può trarre dal prodotto</t>
  </si>
  <si>
    <t>È la convenienza del prodotto rispetto ai competitor</t>
  </si>
  <si>
    <t>Un insieme di attività</t>
  </si>
  <si>
    <t>La fasi produttive che permettono di trasformare un output in un input</t>
  </si>
  <si>
    <t>Tutte le fasi che all'interno di uno stabilimento produttivo o un ufficio</t>
  </si>
  <si>
    <t>Un'attività che compone un processo</t>
  </si>
  <si>
    <t>Qual è la definizione di jidoka?</t>
  </si>
  <si>
    <t>Jidoka è una metodologia per velocizzare la produzione senza interruzioni</t>
  </si>
  <si>
    <t>Jidoka consiste nell’automatizzare tutte le attività manuali del processo</t>
  </si>
  <si>
    <t>Jidoka è un sistema che permette agli operatori di segnalare le anomalie</t>
  </si>
  <si>
    <t>Jiidoka è la capacità di macchine e uomini di arrestarsi immediatamente all’insorgenza di un’anomalia nel processo</t>
  </si>
  <si>
    <t>Quel'è la differenza tra jidoka, andon e poka yoke?</t>
  </si>
  <si>
    <t>Nva-1</t>
  </si>
  <si>
    <t>Nva-2</t>
  </si>
  <si>
    <t>Va</t>
  </si>
  <si>
    <t>Quali sono le 4m+e?</t>
  </si>
  <si>
    <t>Men, materials, methods, machines, energy</t>
  </si>
  <si>
    <t>Men, materials, methods, machines, environment</t>
  </si>
  <si>
    <t>Men, materials, methods, money, environment</t>
  </si>
  <si>
    <t>Men, materials, measurement, machines, environment</t>
  </si>
  <si>
    <t>In base al takt time</t>
  </si>
  <si>
    <t>Qual è la definizione di processing time?</t>
  </si>
  <si>
    <t>Rappresenta il ritmo della produzione</t>
  </si>
  <si>
    <t>Cosa rappresenta il tempo ciclo?</t>
  </si>
  <si>
    <t>Sulla base di cosa viene definito il numero di risorse in logica pull?</t>
  </si>
  <si>
    <t>Il numero di risorse è determinato sulla base del t/c</t>
  </si>
  <si>
    <t>Demand time e lt di risposta</t>
  </si>
  <si>
    <t>Processing time e throughput time</t>
  </si>
  <si>
    <t>Dal lead time produttivo</t>
  </si>
  <si>
    <t>Specifico, misurabile, adottabile, rilevante, temporale</t>
  </si>
  <si>
    <t>Cercare di trasformare gli oppositori in resistenti</t>
  </si>
  <si>
    <t>Cercare di trasformare gli oppositori in innovatori</t>
  </si>
  <si>
    <t>Cercare di trasformare i resistenti in innovatori</t>
  </si>
  <si>
    <t>Escludere dalle iniziative gli oppositori</t>
  </si>
  <si>
    <t>Value stream mapping</t>
  </si>
  <si>
    <t>Cosa si intende per throughput time?</t>
  </si>
  <si>
    <t>Il throughput time misura il periodo che intercorre dall’inizio della lavorazione di un input fino al completamento del processo, includendo trasferimenti e stoccaggi intermedi</t>
  </si>
  <si>
    <t>Il throughput time è il tempo totale in cui un input resta nel sistema, dalla ricezione fino alla spedizione, includendo eventuali fermate programmate</t>
  </si>
  <si>
    <t>Il throughput time rappresenta il tempo di attraversamento del flusso principale del processo di un nuovo input considerando di lavorare a fifo tutti gli input già presenti nel processo.</t>
  </si>
  <si>
    <t>Il throughput time rappresenta il tempo che intercorre tra l'uscita di 2 output successivi</t>
  </si>
  <si>
    <t>Tt/tc</t>
  </si>
  <si>
    <t>Tc/tt</t>
  </si>
  <si>
    <t>Processing time/throughput time</t>
  </si>
  <si>
    <t>Throughput time/processing time</t>
  </si>
  <si>
    <t>Tre flussi</t>
  </si>
  <si>
    <t>Ridurre i costi del set-up</t>
  </si>
  <si>
    <t>Poter svolgere set-up più frequentemente</t>
  </si>
  <si>
    <t>Poter produrre di più</t>
  </si>
  <si>
    <t>Ridurre il numero di attrezzi necessari per svolgere il set up</t>
  </si>
  <si>
    <t>Su quale leva può realisticamente un'agire un'azienda per migliorare i propri risultati sul mercato?</t>
  </si>
  <si>
    <t>Prezzo</t>
  </si>
  <si>
    <t>Costo</t>
  </si>
  <si>
    <t>Margine</t>
  </si>
  <si>
    <t>Perché molto spesso il tempo di attraversamento di un materiale all'interno di un processo è molto più lungo rispetto all'effettivo tempo di trasformazione?</t>
  </si>
  <si>
    <t>Se un'azienda produce complessivamente 1000 pezzi al mese (includendo gli scarti) vendendoli a 100€/pezzo, di quanto riuscirei ad abbassare il prezzo riducendo gli scarti dal 6% al 2% (a parità di margine)?</t>
  </si>
  <si>
    <t>Tutte le risposte sono corrette</t>
  </si>
  <si>
    <t>Perché i reparti al loro interno sono poco efficienti</t>
  </si>
  <si>
    <t>Perché è importante ragionare in ottica 4m+e?</t>
  </si>
  <si>
    <t>Quando ha senso implementare dei sistemi informativi per migliorare l'efficienza del flusso informativo</t>
  </si>
  <si>
    <t>I dati vengono gestiti su fogli excel, creando errori occasionali</t>
  </si>
  <si>
    <t>Quali tra queste attività sono classificate come nva2, cioè immediatamente eliminabili?</t>
  </si>
  <si>
    <t>Tutte le precedenti</t>
  </si>
  <si>
    <t>Quale delle seguenti azioni è in genere la più efficiente per eliminare il muda di movimento?</t>
  </si>
  <si>
    <t>In quale situazione il sistema “push” mostra i suoi limiti più evidenti secondo l’approccio lean?</t>
  </si>
  <si>
    <t>Cosa avviene se la domanda non è trasmessa in maniera completa?</t>
  </si>
  <si>
    <t>Cosa avviene se la domanda non è trasmessa in maniera chiara?</t>
  </si>
  <si>
    <t>Cosa avviene se la domanda non è trasmessa in maniera corretta?</t>
  </si>
  <si>
    <t>Cosa avviene se la domanda non è trasmessa in maniera tempestiva?</t>
  </si>
  <si>
    <t>Se il lead time di risposta è più breve del lead time richiesto dal mercato posso nella quasi totalità dei casi avere 0 scorte?</t>
  </si>
  <si>
    <t>Cosa viene riportato sul flusso informativo?</t>
  </si>
  <si>
    <t>Se per produrre 10 lavatrici ogni 8 ore un'azienda impega 2 operatori, qual è il tempo ciclo?</t>
  </si>
  <si>
    <t>Se per produrre 10 lavatrici ogni 8 ore un'azienda impega 2 operatori, qual è il throghput time?</t>
  </si>
  <si>
    <t>Non è calcolabile</t>
  </si>
  <si>
    <t>Nessuna delle opzioni</t>
  </si>
  <si>
    <t>Diminuire l'efficienza della lavorazione</t>
  </si>
  <si>
    <t>Diminuire l'efficacia della lavorazione</t>
  </si>
  <si>
    <t>Eliminare strumenti realmente utili</t>
  </si>
  <si>
    <t>Qual è lo scopo dei 5 perché ?</t>
  </si>
  <si>
    <t>Permette di visualizzare l'insieme delle cause potenziali di un qualsiasi effetto</t>
  </si>
  <si>
    <t>Raggiungere la causa radice del problema</t>
  </si>
  <si>
    <t>Identifica le possibili soluzioni al problema</t>
  </si>
  <si>
    <t>Tutte le opzioni</t>
  </si>
  <si>
    <t>Nel diagramma di ishikawa cosa bisogna porre all'estremità destra della linea principale</t>
  </si>
  <si>
    <t>La contromisura per il problema</t>
  </si>
  <si>
    <t>Le diverse cause del problema</t>
  </si>
  <si>
    <t>La causa radice del problema</t>
  </si>
  <si>
    <t>È presente un'elevata umidità in produzione</t>
  </si>
  <si>
    <t>Materials</t>
  </si>
  <si>
    <t>Methods</t>
  </si>
  <si>
    <t>Environment</t>
  </si>
  <si>
    <t>Non si può determinare</t>
  </si>
  <si>
    <t>La pulizia dei componenti da inserire nella macchina per il cambio set-up</t>
  </si>
  <si>
    <t>Sostituire lo stampo di una macchina</t>
  </si>
  <si>
    <t>Organizzare gli strumenti necessari per la lavorazione successiva</t>
  </si>
  <si>
    <t>Parte dalla preparazione degli strumenti fino a quando l'operatore inizia la verifica della conformità alle specifiche della prima bottiglia da un litro</t>
  </si>
  <si>
    <t>Parte dalla preparazione degli strumenti fino a quando l'operatore finisce di verificare la conformità alle specifiche della prima bottiglia da un litro</t>
  </si>
  <si>
    <t>0,25</t>
  </si>
  <si>
    <t>0,5</t>
  </si>
  <si>
    <t>0,75</t>
  </si>
  <si>
    <t>0,6</t>
  </si>
  <si>
    <t>0,7</t>
  </si>
  <si>
    <t>0,8</t>
  </si>
  <si>
    <t>0</t>
  </si>
  <si>
    <t>0,1</t>
  </si>
  <si>
    <t>0,35</t>
  </si>
  <si>
    <t>Riduzione della durata delle attività fatte prima e dopo il set-up</t>
  </si>
  <si>
    <t>Riduzione del tempo necessario per il cambio stampo</t>
  </si>
  <si>
    <t>Work sampling</t>
  </si>
  <si>
    <t>Push</t>
  </si>
  <si>
    <t>Pull</t>
  </si>
  <si>
    <t>Un sistema misto push-pull</t>
  </si>
  <si>
    <t>Non è possibile determinarlo</t>
  </si>
  <si>
    <t>A valle della stazione di assemblaggio</t>
  </si>
  <si>
    <t>A monte della stazione di assemblaggio</t>
  </si>
  <si>
    <t>Non è necessario disaccopiare</t>
  </si>
  <si>
    <t>Sarà necessario disaccopiare con una scorta di materie prime</t>
  </si>
  <si>
    <t>A valle della prima stazione di lavorazione</t>
  </si>
  <si>
    <t>Push con scorta</t>
  </si>
  <si>
    <t>Pull con supermarket</t>
  </si>
  <si>
    <t>Sequenced pull</t>
  </si>
  <si>
    <t>Continuous flow</t>
  </si>
  <si>
    <t>Perché non è opportuno gestire un materiale categorizzato come stranger utilizzando il kanban?</t>
  </si>
  <si>
    <t>Perché il kanban prevede livelli di sicurezza elevati, incompatibili con materiali a bassa priorità come gli stranger</t>
  </si>
  <si>
    <t>Kanban o mrp</t>
  </si>
  <si>
    <t>Double bin</t>
  </si>
  <si>
    <t>No, il metodo attuale rischia di generare scorte inutilizzate o obsolete</t>
  </si>
  <si>
    <t>No, per questo tipo di codice il modello di gestione migliore è il double bin</t>
  </si>
  <si>
    <t>Kanban system</t>
  </si>
  <si>
    <t>La quantità in pezzi a contenitore</t>
  </si>
  <si>
    <t>Il fornitore (interno/esterno)</t>
  </si>
  <si>
    <t>Il codice articolo</t>
  </si>
  <si>
    <t>Tutte le opzioni sono importanti</t>
  </si>
  <si>
    <t>In un sistema ben dimensionato, cosa indica un contenitore vuoto con il cartellino kanban all'interno?</t>
  </si>
  <si>
    <t>Qual è un errore tipico che vanifica l’efficacia del kanban?</t>
  </si>
  <si>
    <t>Usare un kanban digitale invece che uno fisico</t>
  </si>
  <si>
    <t>Applicare il sistema a un solo componente e non a tutti i componenti nel processo</t>
  </si>
  <si>
    <t>I cartellini kanban vengono duplicati per compensare l’errore</t>
  </si>
  <si>
    <t>Miglioramento dell’oee dell’impianto</t>
  </si>
  <si>
    <t>Il contenitore sarà trattatato come un lotto urgente</t>
  </si>
  <si>
    <t>Si rischia di fare sovrapproduzione</t>
  </si>
  <si>
    <t>A valle dell'intero processo</t>
  </si>
  <si>
    <t>A monte dell'intero processo</t>
  </si>
  <si>
    <t>A valle della stazione di produzione</t>
  </si>
  <si>
    <t>A monte della stazione di produzione</t>
  </si>
  <si>
    <t>Elimina la necessità di utilizzare kanban</t>
  </si>
  <si>
    <t>Evita i colli di bottiglia</t>
  </si>
  <si>
    <t>Il valore per il cliente è tutto quello per cui il cliente sarebbe disposto a pagare</t>
  </si>
  <si>
    <t>Un insieme di operazioni o fasi che trasforma un insieme di input in un output</t>
  </si>
  <si>
    <t>Un insieme di attività o fasi che trasforma un insieme di input in un output</t>
  </si>
  <si>
    <t xml:space="preserve">A meno di una situazione di emergenza non va mai usato un approccio istintivo, è invece opportuno ragionare sempre in ottica spdca
</t>
  </si>
  <si>
    <t>Dopo aver migliorato il flusso operativo</t>
  </si>
  <si>
    <t>Come prima cosa ogni qual volta che il si sia necessario ma non è presente</t>
  </si>
  <si>
    <t>Come prima cosa per riuscire ad avere dati accurati e precisi per le analisi e i miglioramenti successivi</t>
  </si>
  <si>
    <t>Solo quando è fortemente richiesto dai membri del management</t>
  </si>
  <si>
    <t>Flusso informativo</t>
  </si>
  <si>
    <t>Flusso operativo</t>
  </si>
  <si>
    <t>Workflow</t>
  </si>
  <si>
    <t>Flusso produttivo</t>
  </si>
  <si>
    <t>Nessuno dei tre</t>
  </si>
  <si>
    <t>Il workflow non è flessibile a sufficienza</t>
  </si>
  <si>
    <t>Il flusso operativo è troppo vincolato alla variabilità</t>
  </si>
  <si>
    <t>Il layout produttivo non è adatto ai mix elevati</t>
  </si>
  <si>
    <t>È un’attività a valore aggiunto perché assicura la qualità finale</t>
  </si>
  <si>
    <t>Sovrapproduzione</t>
  </si>
  <si>
    <t>Migliorare la formazione sull’uso dei report</t>
  </si>
  <si>
    <t>Movimento</t>
  </si>
  <si>
    <t>Difetti</t>
  </si>
  <si>
    <t>Vero</t>
  </si>
  <si>
    <t>Falso</t>
  </si>
  <si>
    <t xml:space="preserve">Vero
</t>
  </si>
  <si>
    <t>Ispezione su un lotto garantito da un fornitore certificato</t>
  </si>
  <si>
    <t>Pulizia di fine turno</t>
  </si>
  <si>
    <t>Automatizzare il trasporto tra due reparti</t>
  </si>
  <si>
    <t>Dotare ogni postazione di strumenti e materiali dedicati</t>
  </si>
  <si>
    <t>Creare percorsi pedonali distinti da quelli carrellabili</t>
  </si>
  <si>
    <t>Sono accettabili se collegati alla qualità</t>
  </si>
  <si>
    <t>Vengono considerati il “male assoluto” da eliminare sistematicamente</t>
  </si>
  <si>
    <t>In aziende con forte digitalizzazione</t>
  </si>
  <si>
    <t>In contesti di alta personalizzazione e variabilità della domanda</t>
  </si>
  <si>
    <t>Gli operatori privilegiano il completamento dei lotti rispetto al flusso</t>
  </si>
  <si>
    <t>La produzione è livellata ma non sincronizzata con la domanda</t>
  </si>
  <si>
    <t>Il flusso operativo dovrebbe essere più veloce</t>
  </si>
  <si>
    <t>Il sistema è progettato per assorbire la complessità invece che ridurla</t>
  </si>
  <si>
    <t xml:space="preserve">Le informazioni parziali verranno interpretate in autonomia, generando variabilità tra operatori.
</t>
  </si>
  <si>
    <t xml:space="preserve">Si avranno a disposizione informazioni sulla qualità sui o costi o sui tempi errate
</t>
  </si>
  <si>
    <t>Si avranno a disposizione informazioni sulla qualità sui o costi o sui tempi errate</t>
  </si>
  <si>
    <t>Il takt time dovrebbe essere ricalcolato in base al tempo medio reale</t>
  </si>
  <si>
    <t>Il processo è potenzialmente disallineato alla domanda, con rischio di generare muda</t>
  </si>
  <si>
    <t>Il sistema è bilanciato ma sovradimensionato</t>
  </si>
  <si>
    <t>Il flusso è più lento della domanda e genera accumulo o ritardi</t>
  </si>
  <si>
    <t>I reparti non hanno applicato tecnologie moderne</t>
  </si>
  <si>
    <t>Il takt time è stato calcolato con errore</t>
  </si>
  <si>
    <t>Il miglioramento locale ha aumentato gli stock tra le fasi</t>
  </si>
  <si>
    <t>Il personale non era motivato</t>
  </si>
  <si>
    <t>Il miglioramento non è stato verificato e standardizzato</t>
  </si>
  <si>
    <t>Verificare se è replicabile anche in altri plant</t>
  </si>
  <si>
    <t>Verificare la sostenibilità nel tempo e standardizzarla nel contesto locale</t>
  </si>
  <si>
    <t>Attuabile</t>
  </si>
  <si>
    <t>Rilevante</t>
  </si>
  <si>
    <t>No, manca la specificità</t>
  </si>
  <si>
    <t>Sì, le rispetta tutte</t>
  </si>
  <si>
    <t>Misurabilità</t>
  </si>
  <si>
    <t>Attuabilità</t>
  </si>
  <si>
    <t>Tempificazione</t>
  </si>
  <si>
    <t>Rilevanza</t>
  </si>
  <si>
    <t>La tecnologia adatta per connettere le aree</t>
  </si>
  <si>
    <t>Una visione unificata</t>
  </si>
  <si>
    <t>Perché ogni reparto deve costruire il proprio modello operativo</t>
  </si>
  <si>
    <t>Perché i risultati si disperdono se non sono integrati nella strategia aziendale</t>
  </si>
  <si>
    <t>Perché il miglioramento locale può generare risultati in contrasto con gli obiettivi complessivi</t>
  </si>
  <si>
    <t>La produttività individuale è stata misurata male dal team hr</t>
  </si>
  <si>
    <t>Il layout produttivo non consente di lavorare con meno scorte</t>
  </si>
  <si>
    <t>Gli obiettivi locali non sono allineati con gli obiettivi di value stream</t>
  </si>
  <si>
    <t>La leadership non ha gestito correttamente la comunicazione del cambiamento</t>
  </si>
  <si>
    <t>Il sistema pull è stato implementato senza verificare la compatibilità con la logistica</t>
  </si>
  <si>
    <t>La formazione sul pull è stata insufficiente</t>
  </si>
  <si>
    <t>Le aree funzionali non condividono una logica comune e strategica di flusso</t>
  </si>
  <si>
    <t>I flussi di magazzino devono essere gestiti in autonomia</t>
  </si>
  <si>
    <t>Una normale tensione tra efficienza e flessibilità</t>
  </si>
  <si>
    <t>Un esempio di ottimizzazione locale in conflitto con il flusso complessivo</t>
  </si>
  <si>
    <t>Gli ordini spinti devono essere gestiti manualmente in ogni caso</t>
  </si>
  <si>
    <t>Il sistema non è strategicamente integrato e le logiche restano in conflitto</t>
  </si>
  <si>
    <t>La misurazione degli scarti avviene troppo tardi nel processo</t>
  </si>
  <si>
    <t>L’obiettivo locale non è coerente con il valore complessivo per il cliente</t>
  </si>
  <si>
    <t>Per facilitare la formazione del personale operativo</t>
  </si>
  <si>
    <t>Per identificare dove si generano sprechi dovuti a disallineamento tra informazioni e materiali</t>
  </si>
  <si>
    <t>Escludere il contributo delle funzioni di supporto</t>
  </si>
  <si>
    <t>Perdere la visione d’insieme e focalizzarsi su ottimizzazioni locali</t>
  </si>
  <si>
    <t>Verificare se i dati di produzione sono aggiornati</t>
  </si>
  <si>
    <t>Semplifica la formazione per i nuovi assunti</t>
  </si>
  <si>
    <t>Rende visibile la differenza tra la situazione reale e quella desiderata</t>
  </si>
  <si>
    <t>Non mostra le connessioni tra i diversi elementi</t>
  </si>
  <si>
    <t>Segnalare le aree di lavoro con cartelli</t>
  </si>
  <si>
    <t>Separare ciò che serve da ciò che non serve, eliminando il superfluo</t>
  </si>
  <si>
    <t>Segnalare i materiali danneggiati</t>
  </si>
  <si>
    <t>Ordinare le cose in modo che siano sempre facili da trovare e rimettere al loro posto</t>
  </si>
  <si>
    <t>Ordinare i documenti amministrativi</t>
  </si>
  <si>
    <t>Pulire le aree di lavoro per prevenire difetti e problemi</t>
  </si>
  <si>
    <t>Stabilire regole comuni e visibili per garantire ordine e pulizia</t>
  </si>
  <si>
    <t xml:space="preserve">Stabilire procedure formali di controllo per verificare l’ordine in azienda
</t>
  </si>
  <si>
    <t>Applicare regole severe per correggere rapidamente ogni deviazione dagli standard</t>
  </si>
  <si>
    <t>Promuovere la responsabilità individuale e collettiva sulle buone pratiche precedentemente definite</t>
  </si>
  <si>
    <t>Si creano aree troppo personalizzate</t>
  </si>
  <si>
    <t>Mario ha fatto problem solving ma non decision making</t>
  </si>
  <si>
    <t>Inizia quando l'operatore inizia a smontare i componenti dalla macchina fino a quando l'operatore finisce di verificare la conformità alle specifiche della prima bottiglia da un litro</t>
  </si>
  <si>
    <t>Inizia quando l'operatore inizia a smontare i componenti dalla macchina fino a quando l'operatore inizia la verifica della conformità alle specifiche della prima bottiglia da un litro</t>
  </si>
  <si>
    <t>Esternalizzazione delle attività preparatorie</t>
  </si>
  <si>
    <t>Lasciare la gestione giornaliera del kanban agli operatori</t>
  </si>
  <si>
    <t>Quale delle seguenti affermazioni descrive meglio lo scopo della seconda S, “Seiton”?</t>
  </si>
  <si>
    <t>Quale delle seguenti affermazioni descrive meglio lo scopo della terza S, “Seiso” ?</t>
  </si>
  <si>
    <t>Quale delle seguenti affermazioni descrive meglio lo scopo della quarta S, “Seiketsu”?</t>
  </si>
  <si>
    <t>Creare degli standard per la pulizia</t>
  </si>
  <si>
    <t>Quale delle seguenti affermazioni coglie meglio l’essenza della quinta S, “Shitsuke”?</t>
  </si>
  <si>
    <t>Assicurarsi che ogni reparto abbia una checklist aggiornata per le pulizie</t>
  </si>
  <si>
    <t>Ergonomia</t>
  </si>
  <si>
    <t>Si rischia che le prime 4S non vengano rispettate</t>
  </si>
  <si>
    <t>Nella fase di seiso (pulire), quale rischio viene evidenziato se si considera la pulizia solo come azione estetica?</t>
  </si>
  <si>
    <t>Quale di queste non è un'area tipica sulla quale le 5S possono agire?</t>
  </si>
  <si>
    <t>Quale delle seguenti affermazioni descrive meglio lo scopo della prima s, “Seiri”?</t>
  </si>
  <si>
    <t>Qual rischio più probabile se nella fase Shitsuke (sostenere) si adottano unicamente controlli ispettivi rigidi?</t>
  </si>
  <si>
    <t>In un’officina si evidenziano aree disordinate, strumenti rotti e perdite di tempo. Su quale S conviene lavorare per prima?</t>
  </si>
  <si>
    <t>Dopo alcune settimane, gli operatori hanno smesso di rispettare le regole definite durante il progetto 5S. Quale fase è carente?</t>
  </si>
  <si>
    <t>I materiali stranger hanno una frequenza d’uso troppo bassa e imprevedibile, che rende inefficiente un sistema pull e porta a sovraccarichi di scorte o obsolescenza</t>
  </si>
  <si>
    <t>Per un codice con un valore di movimentazione pari ad A e una frequenza Runner, qual è il modello di gestione delle scorte più adatto?</t>
  </si>
  <si>
    <t>Per un codice con un valore di movimentazione pari ad A e una frequenza Repeater, qual è il modello di gestione delle scorte più adatto?</t>
  </si>
  <si>
    <t>Per un codice con un valore di movimentazione pari a C e una frequenza Runner, qual è il modello di gestione delle scorte più adatto?</t>
  </si>
  <si>
    <t>Per un codice con un valore di movimentazione pari a B e una frequenza Stranger, qual è il modello di gestione delle scorte più adatto?</t>
  </si>
  <si>
    <t>Per un codice con un valore di movimentazione pari a C e una frequenza Repeater, qual è il modello di gestione delle scorte più adatto?</t>
  </si>
  <si>
    <t>Un codice ha un costo medio-basso ed è stato utilizzato solo una volta nell'ultimo anno, in una manutenzione straordinaria. L’azienda lo tiene a magazzino in scorta fissa. Qual è l’azione più sensata?</t>
  </si>
  <si>
    <t>Un additivo liquido ad alto costo, gestito con sistema kanban, viene impiegato in produzione in modo irregolare: a volte per tre settimane consecutive e altre volte resta inutilizzato per mesi. L’azienda lo sta gestendo correttamente?</t>
  </si>
  <si>
    <t>Si, la gestione è coerente perché il kanban è il sistema adatto per prodotti a elevato valore</t>
  </si>
  <si>
    <t>Si, la gestione è coerente perché il kanban è il sistema adatto a situazioni in cui è presente una variabilità nei consumi</t>
  </si>
  <si>
    <t>Il double bin è ideale per gestire la rarità d’uso e il valore</t>
  </si>
  <si>
    <t>La logica è corretta, purché la quantità dei contenitori venga aggiornata mensilmente</t>
  </si>
  <si>
    <t>Con un kanban double bin per avere una maggiore sicurezza operativa</t>
  </si>
  <si>
    <t>Mantenendo uno stock fisso</t>
  </si>
  <si>
    <t>Un consulente sta studiando la gestione di un componente a elevato valore e frequente utilizzo (almeno una volta a settimana). Qual è il modello di gestione delle scorte corretto per questa situazione?</t>
  </si>
  <si>
    <t>Un perno speciale con lavorazione a disegno ha un valore medio-alto, la sua domanda cambia molto in base agli ordini cliente e a volte resta fermo per più di un anno. Il lead time  di approvvigionamento dal fornitore è di 3 settimane. Qual è il modello di gestione delle scorte corretto per questa situazione?</t>
  </si>
  <si>
    <t>MRP</t>
  </si>
  <si>
    <t>ABC-RRS</t>
  </si>
  <si>
    <t>Azienda</t>
  </si>
  <si>
    <t>auxiell</t>
  </si>
  <si>
    <t>In base a che fattori viene determinato il numero di risorse trasformanti da assegnare a una fase?</t>
  </si>
  <si>
    <t>Rappresenta il tempo totale necessario per produrre una unita di prodotto finito</t>
  </si>
  <si>
    <t>Cosa rappresenta il takt time?</t>
  </si>
  <si>
    <t>Una fabbrica di giocattoli ha ricevuto una commessa per produrre 500 pezzi in una settimana lavorativa (40h). La produzione lavora 8 ore al giorno, nelle quali viene stimato un tempo per il setup delle macchine di 1 ora al giorno. Qual è il takt time [s]?</t>
  </si>
  <si>
    <t>280 s</t>
  </si>
  <si>
    <t>288s</t>
  </si>
  <si>
    <t>In ambienti stabili con volumi costanti</t>
  </si>
  <si>
    <t>In produzione continua (24/7)</t>
  </si>
  <si>
    <t>Quando tutti i processi sono eseguiti da operatori polivalenti</t>
  </si>
  <si>
    <t>Quando il lead time richiesto è minore del lead time performato</t>
  </si>
  <si>
    <t>Quando il processo è schedulato da un MRP centralizzato</t>
  </si>
  <si>
    <t>Quando il lead time richiesto è maggiore o uguale al lead time performato e i processi sono stabili</t>
  </si>
  <si>
    <t>Un’azienda ha ridotto la variabilità nella produzione tramite il livellamento delle fasi produttive, ma nota che gli stock intermedi aumentano. Qual è l’interpretazione più corretta in ottica lean?</t>
  </si>
  <si>
    <t>Il sistema informativo non è reattivo</t>
  </si>
  <si>
    <t xml:space="preserve">La produzione è livellata ma non sincronizzata con la domanda </t>
  </si>
  <si>
    <t>La previsione di vendita è imprecisa</t>
  </si>
  <si>
    <t>Il cliente non è affidabile</t>
  </si>
  <si>
    <t>Le scorte sono l’unico modo per gestire la flessibilità</t>
  </si>
  <si>
    <t>Un cliente cambia spesso le specifiche all’ultimo momento. L’azienda reagisce producendo buffer e ridondanze per essere pronta a tutto. Qual è il problema secondo il lean management?</t>
  </si>
  <si>
    <t>Un processo risulta avere un lead time breve quando è ben collegato alla domanda del cliente?</t>
  </si>
  <si>
    <t>Un flusso informativo chiaro e tempestivo può compensare parzialmente un flusso operativo instabile?</t>
  </si>
  <si>
    <t>Le informazioni parziali verranno interpretate in autonomia, generando variabilità tra operatori</t>
  </si>
  <si>
    <t>L’attività verrà svolta corretamente, ma potrebbe mancare il momento preciso di consegna al cliente</t>
  </si>
  <si>
    <t>Si avranno a disposizione informazioni sulla qualità, sui costi o/e sui tempi errate</t>
  </si>
  <si>
    <t>Non si avranno a disposizione informazioni sulla qualità, sui costi o/e sui tempi corrette</t>
  </si>
  <si>
    <t xml:space="preserve">Non si avranno a disposizione informazioni sulla qualità, sui costi o/e sui tempi corrette
</t>
  </si>
  <si>
    <t xml:space="preserve">Vero </t>
  </si>
  <si>
    <t>Non si può controllare la variabilità nel tempo del valore richiesto (trend, stagionalità, eventi globali), ma si può controllare e ridurre l'asimmetria informativa all'interno del processo</t>
  </si>
  <si>
    <t>In un processo produttivo, il team ottiene un takt time teorico di 45 secondi/pz, ma le postazioni lavorano in media a 30 secondi/pz. Qual è l’interpretazione della situazione più corretta?</t>
  </si>
  <si>
    <t>Il processo è molto efficiente e quindi molto performante</t>
  </si>
  <si>
    <t>Il sistema è allineato alla domanda</t>
  </si>
  <si>
    <t>In un processo il cycle time medio è stabile, ma superiore al takt time. Cosa indica questa condizione?</t>
  </si>
  <si>
    <t>Il sistema è in grado di assorbire la variabilità della domanda</t>
  </si>
  <si>
    <t>Il processo produce in anticipo rispetto al ritmo richiesto</t>
  </si>
  <si>
    <t>Durante un ciclo di lavoro, un operatore cerca del materiale tra le scaffalature. In ottica di va-nva analysis, come viene categorizzata questa attività?</t>
  </si>
  <si>
    <t>Quando è opportuno adottare un approccio istintivo anziché uno scentifico quando si risolvono i problemi?</t>
  </si>
  <si>
    <t>In che modo la presenza di scorte eccessive può nascondere problemi di processo? Fai un esempio reale.</t>
  </si>
  <si>
    <t>Scorte eccessive possono nascondere difetti a valle, colli di bottiglia o tempi di set-up troppo lunghi. Ad esempio, mantenere tanti componenti in magazzino può coprire ritardi di assemblaggio o inefficienze nella pianificazione.</t>
  </si>
  <si>
    <t>È una buona prassi per garantire la qualità</t>
  </si>
  <si>
    <t>È un esempio di muda inevitabile</t>
  </si>
  <si>
    <t>È un’attività potenzialmente eliminabile</t>
  </si>
  <si>
    <t>In un reparto, gli operatori svolgono controlli sui pezzi in ingresso da fornitori certificati. Cosa ne pensi?</t>
  </si>
  <si>
    <t>La manutenzione ordinaria di un macchinario, effettuata in orario produttivo, è da considerarsi:</t>
  </si>
  <si>
    <t>Attività va</t>
  </si>
  <si>
    <t xml:space="preserve">Attività nva1 </t>
  </si>
  <si>
    <t>Attività nva2</t>
  </si>
  <si>
    <t>Attività nva1</t>
  </si>
  <si>
    <t>Aumentare la velocità della linea produttiva</t>
  </si>
  <si>
    <t>Ridurre i tempi di attesa tra le lavorazioni</t>
  </si>
  <si>
    <t>Eliminare attività nva1 significa in genere aumentare il valore per il cliente?</t>
  </si>
  <si>
    <t xml:space="preserve">Un’attività è considerata muda anche se è utile al processo, ma non percepita come valore dal cliente
</t>
  </si>
  <si>
    <t>Un controllo qualità può essere considerato a valore aggiunto se aiuta a evitare difetti a valle</t>
  </si>
  <si>
    <t>Attesa per una firma approvativa che potrebbe essere facilmente automatizzata</t>
  </si>
  <si>
    <t>Raggruppare le attività di ispezione in un’area separata</t>
  </si>
  <si>
    <t>Vengono tollerati entro certi limiti</t>
  </si>
  <si>
    <t>Sono visti come costi inevitabili</t>
  </si>
  <si>
    <t>Qual è la caratteristica che distingue i muda nella prospettiva Toyota rispetto a una visione occidentale tradizionale?</t>
  </si>
  <si>
    <t>euxilia</t>
  </si>
  <si>
    <t>In un sistema kanban double bin quale delle seguenti informazioni non è importante riportare sul contenitore?</t>
  </si>
  <si>
    <t>In un sistema kanban puro quale delle seguenti informazioni non è importante riportare sul contenitore?</t>
  </si>
  <si>
    <t>In una linea di montaggio, l’operatore trova un contenitore vuoto con il cartellino kanban ancora al suo posto, ma non lo restituisce. Cosa comporta questo comportamento?</t>
  </si>
  <si>
    <t>Un cartellino kanban si stacca da un contenitore durante il trasporto. Quale problema si genera nel sistema?</t>
  </si>
  <si>
    <t>Un rallentamento della fase successiva</t>
  </si>
  <si>
    <t>Se in un sistema kanban si accumulano più cartellini del previsto in un’area di stoccaggio dopo una fase, qual è la causa più probabile?</t>
  </si>
  <si>
    <t>Aumenta il rischio di difettosità</t>
  </si>
  <si>
    <t>I manager non hanno comunicato bene le priorità</t>
  </si>
  <si>
    <t>Il miglioramento non era utile</t>
  </si>
  <si>
    <t>La modifica è stata imposta e non condivisa</t>
  </si>
  <si>
    <t xml:space="preserve"> raccogliere il feedback del responsabile qualità</t>
  </si>
  <si>
    <t>Allinearsi con il benchmark esterno</t>
  </si>
  <si>
    <t>Misurabile</t>
  </si>
  <si>
    <t>Tempificato</t>
  </si>
  <si>
    <t>Un team riceve un KPI sui costi di fornitura, anche se il team non può incidere su forniture o decisioni di acquisto. Quale categoria SMART manca nel KPI?</t>
  </si>
  <si>
    <t>No, manca la rilevanza</t>
  </si>
  <si>
    <t>No, non è attuabile</t>
  </si>
  <si>
    <t>Specificità</t>
  </si>
  <si>
    <t>Cosa sono i 5 perché?</t>
  </si>
  <si>
    <t>Mario sentendo mal di testa decide di prendere degli antidolorifici. Mario ha applicato il problem solving?</t>
  </si>
  <si>
    <t>Il comune vedendo che in centro città si fa fatica a trovare pacheggio decide di costruire dei nuovi parcheggi. Il comune ha applicato il problem solving?</t>
  </si>
  <si>
    <t>Il comune vedendo molta spazzatura per strada decide di dedicare delle risorse per fare una formazione dedicata sull'argomento nelle scuole. Il comune ha applicato il problem solving?</t>
  </si>
  <si>
    <t>Mario durante una visita dentistica scopre di avere una carie, da quel momento decide di lavarsi i denti più spesso ed evitare cibi e bevande con molto zucchero. Mario ha applicato il problem solving?</t>
  </si>
  <si>
    <t>Qual è lo scopo delle 4M+E?</t>
  </si>
  <si>
    <t>Mario si accorge che la stampante ha smesso di funzionare e dopo averci pensato prova a riavviarla. Cosa è successo?</t>
  </si>
  <si>
    <t>Un'azienda deve scegliere il fornitore per uno specifico articolo.  opportuno fare problem solving o decision making?</t>
  </si>
  <si>
    <t>Il team di manutenzione nota che una macchina che si ferma spesso. È opportuno fare problem solving o decision making?</t>
  </si>
  <si>
    <t>Il team di manutenzione nota che una macchina che si ferma spesso per mancanza di lubrificante. È opportuno fare problem solving o decision making?</t>
  </si>
  <si>
    <t>In un reparto produttivo, improvvisamente si registrano più scarti di materiale del normale. È opportuno fare problem solving o decision making?</t>
  </si>
  <si>
    <t>Un'azienda per gestire gli acquisti di materia prima si basa sui consumi del mese precedente, a partire da quel dato crea dei piani previsionali settimanali per il riordino nel mese successivo. L'azienda sta adottando un sistema push o pull?</t>
  </si>
  <si>
    <t>Un'azienda produce articoli standard destinati a grandi magazzini.
Ogni mese stima il fabbisogno futuro dei clienti sulla base delle vendite passate e pianifica la produzione di articoli da tenere a stock. L'azienda sta adottando un sistema push o pull?</t>
  </si>
  <si>
    <t>Se il modello organizzativo dell'azienda è ATO, dove sarà necessario disaccopiare il processo produttivo</t>
  </si>
  <si>
    <t>Se il modello organizzativo dell'azienda è DTO, dove sarà necessario disaccopiare il processo produttivo</t>
  </si>
  <si>
    <t>Se il modello organizzativo dell'azienda è ETO, dove sarà necessario disaccopiare il processo produttivo</t>
  </si>
  <si>
    <t>Se il modello organizzativo dell'azienda è PTO, dove sarà necessario disaccopiare il processo produttivo</t>
  </si>
  <si>
    <t>Se ad ogni fase del processo arriva un ordine di produzione. Che tipo di collegamento sarà presente?</t>
  </si>
  <si>
    <t>Se una fase produttiva ripristina (nel magazzino) gli articoli consumati dalla fase successiva. Che tipo di collegamento sarà presente?</t>
  </si>
  <si>
    <t>La "fase 1" produce il materiale per la "fase 2", la quale produrrà seguendo la stessa sequenza. 
tra le due fasi è presente una corsia fifo dimensionata.
Che tipo di collegamento sarà presente?</t>
  </si>
  <si>
    <t>MTS</t>
  </si>
  <si>
    <t>ATO</t>
  </si>
  <si>
    <t>MTO</t>
  </si>
  <si>
    <t>PTO</t>
  </si>
  <si>
    <t>ETO</t>
  </si>
  <si>
    <t>Le 4d</t>
  </si>
  <si>
    <t>Considi;Bonfiglioli;Porsche consulting;Efeso consulting</t>
  </si>
  <si>
    <t>Jidoka consiste nell’automatizzare la produzione con la capacità di fermarsi in caso di problemi, evitando difetti a catena. Andon è un sistema di segnalazione visiva che consente agli operatori di comunicare rapidamente anomalie. Poka yoke, invece, è un metodo per prevenire gli errori attraverso soluzioni che rendono difficile o impossibile sbagliare.</t>
  </si>
  <si>
    <t>Si consideri un'azienda che lavora 8h al giorno, per 5 giorni a settiman la domanda giornaliera è pari a 200pz, e lo stock interoperazionale tra la fase a e b è pari a 390pz. Quanto vale lo stock in termini di tempo?</t>
  </si>
  <si>
    <t>Il team di manutenzione rileva che le macchine si fermano spesso per la mancanza di lubrificante. Quale flusso è più coinvolto nel problema?</t>
  </si>
  <si>
    <t>Il materiale prodotto da un reparto viene trasferito manualmente in un’area di stoccaggio intermedio prima della fase successiva. Questo passaggio è parte del:</t>
  </si>
  <si>
    <t>La postazione di assemblaggio è efficiente, ma è rimasta ferma in attesa di componenti dal reparto precedente che sta ancora producendo la commessa precedente. Dove si colloca lo spreco?</t>
  </si>
  <si>
    <t>Un cliente modifica l’ordine ma la produzione continua con le vecchie specifiche. Qual è il flusso critico in questo errore?</t>
  </si>
  <si>
    <t>Il materiale prodotto da un reparto viene trasferito manualmente in un’area di stoccaggio intermedio prima della fase successiva. Questo passaggio è parte di:</t>
  </si>
  <si>
    <t>Un’analisi mostra che ogni reparto usa una distinta base diversa per lo stesso codice. Qual è il problema?</t>
  </si>
  <si>
    <t>In un’azienda, ogni reparto ha ottimizzato la propria efficienza, tuttavia, il lead time totale è aumentato. Quale spiegazione è più coerente?</t>
  </si>
  <si>
    <t>Durante un workshop kaizen, viene implementata una modifica che sembra funzionare. Il giorno dopo, l’operatore torna al metodo precedente. Qual è la causa più probabile?</t>
  </si>
  <si>
    <t>Un operatore propone un’idea e viene autorizzato a provarla, dopo 3 giorni si misura una riduzione dei difetti. Cosa dovrebbe assolutamente accadere prima di estendere la modifica ad altri reparti?</t>
  </si>
  <si>
    <t>Un team misura il “numero di meeting svolti al mese” come indicatore del miglioramento. Quale caratteristica smart manca principalmente in questo KPI?</t>
  </si>
  <si>
    <t>Un KPI mostra la percentuale di ordini evasi entro 48h. L’obiettivo è il 95% entro la fine del trimestre. Questo KPI rispetta tutte le caratteristiche smart?</t>
  </si>
  <si>
    <t>Un KPI stabilisce che il team debba “diminuire il tempo sprecato in produzione”, ma senza numeri né un sistema di misurazione dei tempi in produzione. Cosa manca secondo il criterio dei KPI SMART?</t>
  </si>
  <si>
    <t>Un KPI è misurato con precisione e aggiornato ogni settimana, ma non è legato a nessun obiettivo strategico. Quale caratteristica non è presente?</t>
  </si>
  <si>
    <t>Un’azienda introduce kanban e 5s in alcuni reparti, ma ogni area lavora con logiche diverse. Cosa manca secondo il principio del sistema strategico?</t>
  </si>
  <si>
    <t>Il caporeparto di un’area produttiva si oppone alla riduzione delle scorte perché ciò ridurrebbe la produttività del suo reparto, che incide sul suo premio. Qual è il vero problema secondo il principio del sistema strategico?</t>
  </si>
  <si>
    <t>In un progetto lean, il reparto logistica rifiuta di adeguarsi al nuovo sistema pull introdotto in produzione, perché lo ritiene “più lento” e “poco flessibile” per i suoi flussi. Che problema principale evidenzia questo comportamento?</t>
  </si>
  <si>
    <t>Un manager valuta il successo della propria area sulla base della saturazione delle macchine, anche se questo comporta l’accumulo di wip a valle. Cosa rappresenta questo, secondo il principio del sistema strategico?</t>
  </si>
  <si>
    <t>In un reparto, l’introduzione del kanban ha portato a una riduzione dei tempi di attesa interni. Tuttavia, la pianificazione centrale continua a spingere ordini senza tenerne conto. Cosa rivela questa situazione?</t>
  </si>
  <si>
    <t>In un audit 5S, il team nota che ogni reparto applica le regole a modo suo. Qual è il rischio principale in questa situazione?</t>
  </si>
  <si>
    <t>Durante un miglioramento 5S, il consulente elimina strumenti raramente usati senza coinvolgere gli operatori. Qual è il rischio più probabile</t>
  </si>
  <si>
    <t>In un’area di lavoro, tutti gli strumenti sono presenti ma disposti in modo confuso, senza logica visiva. Quale fase è debole</t>
  </si>
  <si>
    <t>In azienda, il reparto logistico si accorge che molte spedizioni stanno arrivando in ritardo. È opportuno fare problem solving o decision making?</t>
  </si>
  <si>
    <t>Durante un cambio produzione su una linea di confezionamento, un operatore modifica la pressione di chiusura delle pinze di presa sulla base delle specifiche del nuovo formato.
Questa attività, nel contesto del tempo di set-up, è da classificare come:</t>
  </si>
  <si>
    <t>Durante il cambio formato di una macchina di imbottigliamento, l’operatore preleva le nuove guarnizioni e utensili necessari.
Questa attività è da classificare come:</t>
  </si>
  <si>
    <t>Su una linea di confezionamento, dopo aver installato il nuovo formato di imballaggio, l'operatore misura la distanza corretta tra le barre di saldatura e regola il sistema per rispettare le nuove dimensioni.
Questa attività è da classificare come:</t>
  </si>
  <si>
    <t>Durante il set-up, l'operatore rimuove il vecchio gruppo formatore e installa quello nuovo adatto alle nuove dimensioni del prodotto.
Come si classifica questa attività?</t>
  </si>
  <si>
    <t>Durante la fase iniziale di un cambio, l'operatore controlla che i nuovi stampi siano privi di difetti e corrispondano esattamente al codice del formato richiesto.
Questa attività va classificata come:</t>
  </si>
  <si>
    <t>Durante un cambio formato su una macchina termoformatrice, l'operatore smonta il vecchio stampo utilizzato per il lotto precedente.
Questa attività è da classificare come:</t>
  </si>
  <si>
    <t>Un'azienda, ogni settimana, analizza i dati di consumo della produzione.
In base a questi dati, riordina i componenti consumati.
L'azienda sta adottando un sistema push o pull?</t>
  </si>
  <si>
    <t>Un'azienda per definire dei contratti con i fornitori crea dei piani previsionali sulla base dei consumi dell'anno precedente e sulle previsioni di vendita per l'anno successivo. La gestione nel breve periodo viene fatta riordinando ogni settimana la quantità consumata nella settimana precedente . L'azienda sta adottando un sistema push o pull?</t>
  </si>
  <si>
    <t>Un particolare di precisione genere il 40% del valore movimentato totale, nonostante venga raramente utilizzato più di due volte l’anno. L’azienda ha recentemente attivato un sistema a double bin per per questo articolo. Qual è la valutazione corretta?</t>
  </si>
  <si>
    <t>Una vite in acciaio standard viene utilizzata in grandi quantità, con prelievi giornalieri distribuiti su tutta la produzione.IL costo del componente è estremamente basso e il consumo è stabile nel tempo. Qual è il modello di gestione corretto per il ripristino del componente in linea?</t>
  </si>
  <si>
    <t>Un ordine di produzione viene inviato sia alla fase y (a valle) sia alla fase x (a monte).
Tuttavia, l'ordine arriva alla fase x con un certo anticipo, per consentire il completamento in tempo utile e soddisfare il lead time complessivo della fase.
Che tipo di collegamento esiste tra le due fasi?</t>
  </si>
  <si>
    <t>Standard operativi aggiornati</t>
  </si>
  <si>
    <t>Oppositori all'interno dei team operativi</t>
  </si>
  <si>
    <t>Perché servono investimenti maggiori per ottenere risultati</t>
  </si>
  <si>
    <t>Perché i metodi lean sono validi solo in contesti industriali</t>
  </si>
  <si>
    <t>Perché i reparti non sono autorizzati a decidere in autonomia</t>
  </si>
  <si>
    <t>Perché i risultati locali si annullano se non c’è una certificazione esterna</t>
  </si>
  <si>
    <t>Un problema legato a un oppositore del cambiamento</t>
  </si>
  <si>
    <t>Una non sufficiente formazione del manager</t>
  </si>
  <si>
    <t>Il kanban è stato implementato in un contesto troppo rigido</t>
  </si>
  <si>
    <t>La pianificazione non ha recepito i benefici locali</t>
  </si>
  <si>
    <t>Il sistema di produzione non è abbastanza automatizzato</t>
  </si>
  <si>
    <t>Gli operatori non sono stati formati sulla qualità</t>
  </si>
  <si>
    <t xml:space="preserve">Perché il processo è composto da molte fasi tecniche ad alto valore aggiunto che richIEDono competenze specialistiche
</t>
  </si>
  <si>
    <t>Le macchine richIEDono attrezzaggi frequenti ma sono moderne</t>
  </si>
  <si>
    <t>Generare un report che nessuno consulta è muda anche se automatizzato (e dunque non richIEDe uno spreco di tempo da parte di una risorsa)</t>
  </si>
  <si>
    <t>Perché ogni strumento lean richIEDe una tecnologia dedicata</t>
  </si>
  <si>
    <t>Le azioni per fare una riduzione dei tempi di set-up sono: riduzione delle attività fatte prima e dopo il set-up | esternalizzazione delle attività preparatorie | riduzione del tempo necessario per il cambio stampo | riduzione delle attività fatte internamente (IED) quale di queste dovrebbe essere svolta per prima?</t>
  </si>
  <si>
    <t>Riduzione delle attività fatte internamente (IED)</t>
  </si>
  <si>
    <t>L'action plan completo per un cambio set-up sono (riduzione delle attività fatte prima e dopo il set-up | esternalizzazione delle attività preparatorie | riduzione del tempo necessario per il cambio stampo | riduzione delle attività fatte internamente (IED)) quale di queste dovrebbe essere svolta per ultima?</t>
  </si>
  <si>
    <t>OED sono attività che devono essere effettuate a macchina ferma IED sono attività che possono essere svolte a macchina in movimento</t>
  </si>
  <si>
    <t>OED sono attività che vengono svolte prima dell'inizio del set up IED sono attività che devono essere svolte durante il set-up</t>
  </si>
  <si>
    <t>IED sono attività che devono essere effettuate a macchina ferma OED sono attività che possono essere svolte a macchina in movimento</t>
  </si>
  <si>
    <t>IED sono attività che vengono svolte prima dell'inizio del set up OED sono attività che devono essere svolte durante il set-up</t>
  </si>
  <si>
    <t>Una fase introduce un sistema di performance legato al numero di pezzi prodotti. Questo stimola la produttività, ma anche l’aumento di scarti e rilavorazioni a valle. Qual è il problema strategico irrisolto?</t>
  </si>
  <si>
    <t>Qual è l'obiettivo principale dello SMED?</t>
  </si>
  <si>
    <t>Qual è il focus della fase 2 dello SMED?</t>
  </si>
  <si>
    <t>Quali sono i flussi del valore?</t>
  </si>
  <si>
    <t>Perché organizzare un'azienda per reparti è generalmente peggio rispetto all'organizzazione per processo?</t>
  </si>
  <si>
    <t>Quale delle seguenti situazioni indica un problema nascosto nel flusso operativo, pur in presenza di workflow e flusso informativo formalmente corretti?</t>
  </si>
  <si>
    <t>Compilare una mappa difficile da aggiornare nel tempo</t>
  </si>
  <si>
    <t>Sottovalutare le competenze tecniche necessarie</t>
  </si>
  <si>
    <t>Accettare che le attese sono inevitabili in produzione</t>
  </si>
  <si>
    <t>Concentrarsi sulle attività di trasformazione fisica (process box)</t>
  </si>
  <si>
    <t>Per separare chiaramente le responsabilità tra uffici e produzione</t>
  </si>
  <si>
    <t>Quando costruisci una value stream map, perché è importante rappresentare sia il flusso informativo che quello materiale?</t>
  </si>
  <si>
    <t>Per avere una documentazione più ricca da presentare al management</t>
  </si>
  <si>
    <t>Analizzare dove il processo accumula scorte</t>
  </si>
  <si>
    <t>Permette di confrontare il proprio processo con la concorrenza</t>
  </si>
  <si>
    <t>Facilita il lavoro dell’ufficio tecnico</t>
  </si>
  <si>
    <t>Rispecchia le proporzioni reali</t>
  </si>
  <si>
    <t>Utilizza icone standard</t>
  </si>
  <si>
    <t>Rispecchia il layout dello stabilimento</t>
  </si>
  <si>
    <t>Viene fatta nel gemba</t>
  </si>
  <si>
    <t>Viene usata in fase di analisi</t>
  </si>
  <si>
    <t>Viene usata in fase di riprogettazione</t>
  </si>
  <si>
    <t>Utilizza icone standard;Viene fatta nel gemba;Viene usata in fase di riprogettazione;Viene usata in fase di analisi</t>
  </si>
  <si>
    <t>auxiell fa digital transformation?</t>
  </si>
  <si>
    <t>Quanti sedi ha auxiell group?</t>
  </si>
  <si>
    <t>xva</t>
  </si>
  <si>
    <t>Colonna1</t>
  </si>
  <si>
    <t>Lavorazione;Trasporto;Ispezione;Attesa</t>
  </si>
  <si>
    <t>Organizzare i materiali in un determinato ordine (alfabetico, grandezza, ec)</t>
  </si>
  <si>
    <t>Sistemare gli attrezzi per postazione</t>
  </si>
  <si>
    <t>Separare ciò che serve da ciò che non serve</t>
  </si>
  <si>
    <t>Pulire le postazioni di lavoro in modo approfondito</t>
  </si>
  <si>
    <t>Separare materiali pericolosi dal resto</t>
  </si>
  <si>
    <t>Eliminare lo sporco visibile</t>
  </si>
  <si>
    <t>Separare gli strumenti nuovi da quelli vecchi e usurati</t>
  </si>
  <si>
    <t>Riporre gli attrezzi nelle corrette postazioni</t>
  </si>
  <si>
    <t>Oppositori, resistenti, innovatori</t>
  </si>
  <si>
    <t xml:space="preserve">Perché il processo è composto da molte fasi tecniche ad alto valore aggiunto che richiedono competenze specialistiche
</t>
  </si>
  <si>
    <t>Le macchine richiedono attrezzaggi frequenti ma sono moderne</t>
  </si>
  <si>
    <t>Perché il kanban non consente la tracciabilità delle informazioni di fabbisogno, mentre i materiali stranger la richiedono</t>
  </si>
  <si>
    <t>Perché i materiali stranger, avendo valore generalmente elevato, richiedono una pianificazione jit di tipo push per ridurre i tempi di attraversamento nel sistema produttivo</t>
  </si>
  <si>
    <t>Perché ogni strumento lean richiede una tecnologia dedicata</t>
  </si>
  <si>
    <t>Un ricambio per una macchina cnc viene utilizzato molto raramente, esclusivamente per manutenzioni straordinarie non programmabili. Il suo costo è contenuto e il tempo di approvvigionamento dal fornitore è di 4 giorni. Come dovrebbe essere gestito assumendo che il LT di produzione è 5 gg mentre il LT tichiesto dal cliente è 20 gg?</t>
  </si>
  <si>
    <t>Se un'azienda produce complessivamente 1000 pezzi al mese (includendo gli scarti), vendendoli a 100€/pezzo, di quanto riuscirei ad abbassare il prezzo riducendo gli scarti dal 6% al 2% (a parità di margine)?</t>
  </si>
  <si>
    <t>Perché è importante ragionare in ottica 4M+E?</t>
  </si>
  <si>
    <t>Attività VA</t>
  </si>
  <si>
    <t>Attività NVA1</t>
  </si>
  <si>
    <t>Attività NVA2</t>
  </si>
  <si>
    <t>Eliminare attività NVA1 significa in genere aumentare il valore per il cliente?</t>
  </si>
  <si>
    <t>Quali sono le 5S in ordine?</t>
  </si>
  <si>
    <t>Un’azienda introduce kanban e 5S in alcuni reparti, ma ogni area lavora con logiche diverse. Cosa manca secondo il principio del sistema strategico?</t>
  </si>
  <si>
    <t>Quali tra queste attività sono classificate come NVA2, cioè immediatamente eliminabili?</t>
  </si>
  <si>
    <t>Quali sono le 4M+E?</t>
  </si>
  <si>
    <t>Un team sta analizzando difetti su un componente montato in produzione.
Quale delle seguenti osservazioni appartiene correttamente alla categoria "method" secondo il metodo 4M+E?</t>
  </si>
  <si>
    <t>Durante il controllo qualità, si osserva che un lotto di componenti presenta crepe microscopiche già presenti prima del montaggio.
Le ispezioni mostrano che i difetti sono tutti originati dal fornitore.
Secondo il metodo delle 4M+E, quale categoria descrive meglio il problema?</t>
  </si>
  <si>
    <t>In reparto si riscontra un aumento dei difetti di verniciatura: la vernice non si asciuga correttamente e si formano aloni sulla superficie.
Un'analisi successiva mostra che il livello di umidità nell’aria, a causa di un malfunzionamento del sistema di climatizzazione, è molto più alto del normale.
Secondo il metodo delle 4M+E, quale categoria descrive meglio il problema?</t>
  </si>
  <si>
    <t>Un cliente cambia spesso le specifiche all’ultimo momento. L’azienda reagisce producendo buffer per essere pronta a tutto. Qual è il problema secondo il lean management?</t>
  </si>
  <si>
    <t>In un processo produttivo, il team rileva un takt time teorico di 45 secondi/pz, ma le fasi di lavoro producono in media  2 pz/min. Qual è l’interpretazione della situazione più corretta?</t>
  </si>
  <si>
    <t>La produttività individuale è stata misurata male dal team HR</t>
  </si>
  <si>
    <t>Mentre si sta rappresentando la VSM AS-IS, il team vuole inserire tutti i dettagli tecnici di ogni fase. Qual è il rischio rispetto all’approccio corretto?</t>
  </si>
  <si>
    <t>I manager non hanno comunicaTO-BEne le priorità</t>
  </si>
  <si>
    <t>La VSM viene spesso costruita con una rappresentazione “AS-IS” e poi una “TO-BE”. Qual è il vantaggio principale di questo approccio?</t>
  </si>
  <si>
    <t>Quando si osserva un eccessivo lead time totale rispetto al processing time nella timeline VSM, qual è il ragionamento da fare?</t>
  </si>
  <si>
    <t>Quali delle seguenti caratteristiche sono presenti in una VSM?</t>
  </si>
  <si>
    <t>Durante la costruzione della VSM, qual è la prima cosa da fare?</t>
  </si>
  <si>
    <t>Durante la costruzione della VSM, cosa viene fatto dopo aver rappresentato la domanda del processo?</t>
  </si>
  <si>
    <t>Durante la costruzione della VSM, cosa viene fatto dopo aver mappato le fasi e gli stock del processo?</t>
  </si>
  <si>
    <t>Durante la costruzione della VSM, cosa viene fatto dopo aver popolato i data box?</t>
  </si>
  <si>
    <t>Durante la costruzione della VSM, cosa viene fatto dopo aver rappresentato i flussi informativi?</t>
  </si>
  <si>
    <t>Un componente viene spedito dal fornitore. Ci mette 5 giorni per arrivare nello stabilimento, poi per essere lavorato impiega 1 giorno, in seguito prima della spedizione rimane in attesa presso il magazzino per 4 giorni, e infine raggiunge il cliente 3 giorni dopo. Qual è il LT?</t>
  </si>
  <si>
    <t>Demand time e LT di risposta</t>
  </si>
  <si>
    <t>Un'azienda che vende acqua deve fare il cambio set up da bottiglia da 0,5LT a bottiglia da 1,5LT per fare ciò effettua le seguenti operazioni: 
l'operatore prepara gli strumenti per il cambio set-up -&gt; l'operatore spegne la macchina e inizia a smontare i componenti della macchina -&gt; calibra i parametri della macchina -&gt; avvia la macchina -&gt; controlla che la prima bottiglia da un litro sia conforme alle specifiche -&gt; continua con la produzione.
Quando inizia e quando finisce il set-up?</t>
  </si>
  <si>
    <t>Il numero di risorse è determinato sulla base del T/C</t>
  </si>
  <si>
    <t>Un magazzino continene 100 volanti per macchine l'operazione prima del magazzino ha un T/C = 10min/pz e quella dopo T/C = 20min/pz. A quanti minuti equivale la scorta?</t>
  </si>
  <si>
    <t>Durante l'assemblaggio di un prodotto, alcuni pezzi si incollano male. secondo il metodo delle 4M+E, quale categoria descrive meglio il problema?</t>
  </si>
  <si>
    <t>Durante la verniciatura dei pezzi, alcuni prodotti presentano bolle sulla superficie. secondo il metodo delle 4M+E, quale categoria descrive meglio il problema?</t>
  </si>
  <si>
    <t>Analizzando i pezzi difettosi si scopre che: durante l'assemblaggio, alcuni operatori applicano tempi di pressione diversi sulla colla. secondo il metodo delle 4M+E. Quale categoria descrive meglio il problema?</t>
  </si>
  <si>
    <t>Nella VSM se in una singola operazione ho 2 macchine che lavorano in parallelo e hanno due T/C diversi uno è di 10sec/pz e l'altro di 5sec/pz. Quale sarà il tempo ciclo da assegnare all'operazione?</t>
  </si>
  <si>
    <t>Nella VSM se in una singola operazione ho 2 macchine che lavorano in parallelo e hanno due T/C diversi, uno è di 15sec/pz e l'altro di 8sec/pz. Quale sarà il tempo ciclo da assegnare all'operazione?</t>
  </si>
  <si>
    <t>Nella VSM se in una singola operazione ho 2 macchine che lavorano in parallelo e hanno due T/C diversi uno è di 6sec/pz e l'altro di 2sec/pz. Quale sarà il tempo ciclo da assegnare all'operazione?</t>
  </si>
  <si>
    <t>Un componente viene spedito dal fornitore. Ci mette 5 giorni per arrivare nello stabilimento, poi per essere lavorato da un operatore impiega 1 giorno, in seguito prima della spedizione rimane in attesa presso il magazzino per 4 giorni, e infine raggiunge il cliente 3 giorni dopo. Qual è il throghput time?</t>
  </si>
  <si>
    <t>Mario vedendo che un tubo del rubinetto perdere acqua mette un secchio per non bagnare il pavimento. Mario ha applicato il problem solving?</t>
  </si>
  <si>
    <t>Durante un'analisi SMED, quali attività sono tipicamente classificate come IED nel set-up?</t>
  </si>
  <si>
    <t>In quale fase dello SMED si verifica, in genere, una maggiore riduzione del tempo di set-up</t>
  </si>
  <si>
    <t>Se il TT è di 7 min/pz, il tempo di set-up è di 20 min e il processing time è di 2 min/pz. Di quanto andrebbe ridotto il tempo di set-up per permettere una produzione one-piece-flow</t>
  </si>
  <si>
    <t>Se il TT è di 12 min/pz, il tempo di set-up è di 30 min e il processing time è di 9 min/pz. Di quanto andrebbe ridotto il tempo di set-up per permettere una produzione one-piece-flow</t>
  </si>
  <si>
    <t>Se il TT è di 11 min/pz, il tempo di set-up è di 10 min e il processing time è di 1 min/pz . Di quanto andrebbe ridotto il tempo di set-up per permettere una produzione one-piece-flow</t>
  </si>
  <si>
    <t>Se in un'azienda il tempo per fare il set up del prodotto A è di 10 minuti, il tempo per fare il set-up del prodotto B è di 8 minuti e il tempo per fare il set-up del prodotto C è di 12 minuti. Su quale prodotto è più opportuno fare lo SMED?</t>
  </si>
  <si>
    <t>Se in un'azienda il set-up del prodotto a è di 100 minuti e viene fatto 7 volte all'anno, il set-up del prodotto b è di 80 minuti e viene fatto 9 volte all'anno,infine il set-up del prodotto c è di 120 minuti e viene fatto 5 volte all'anno. Su quale prodotto è più opportuno fare lo SMED?</t>
  </si>
  <si>
    <t>In genere quale altra tecnica viene applicata in concomitanza con lo SMED?</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</si>
  <si>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2 anni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</si>
  <si>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8 settimane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</si>
  <si>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8 giorni per la ricezione del prodotto?</t>
  </si>
  <si>
    <t>Un'azienda ha i seguenti tempi standard per la produzione dei suoi prodotti dopo l'arrivo di una richiesta del cliente:
12 mesi per progettare un nuovo prodotto,
6 mesi dal momento di acquisto delle materie prime all'arrivo del prodotto finito al cliente,
8 settimane del momento di inizio della produzione allo stoccaggio nel magazzino di prodotti finiti,
2 settimane per assemblare il prodotto e farlo arrivare al magazzino di prodotti finiti,
1 settimana per spedirlo al cliente dal magazzino di prodotti finiti.
Quale modello organizzativo dovrebbe utilizzare l'azienda se il cliente è disposto ad aspettare 4 settimane per la ricezione del prodotto?</t>
  </si>
  <si>
    <t>In un reparto produttivo, si registrano i seguenti dati sui set-up annuali:
prodotto x: set-up di 60 minuti, eseguito 12 volte all’anno,
prodotto y: set-up di 150 minuti, eseguito 4 volte all’anno,
prodotto z: set-up di 30 minuti, eseguito 20 volte all’anno,
su quale prodotto conviene prioritariamente applicare la metodologia SMED?</t>
  </si>
  <si>
    <t>Durante un ciclo di lavoro, un operatore cerca del materiale tra le scaffalature. In ottica di VA-NVA analysis, come viene categorizzata questa attività?</t>
  </si>
  <si>
    <t>Le 4D</t>
  </si>
  <si>
    <t>LGA+LRM</t>
  </si>
  <si>
    <t>5W2H</t>
  </si>
  <si>
    <t>Si hanno a disposizione le seguenti informazioni:
il lead time per l'acquisto delle materie prime è pari a 1 mese,
il lead time per produrre i vari componenti è di 2 mesi,
il lead time per assemblare i componenti e spedire i prodotti finiti è pari a 1 mese,
il lead time richiesto dal cliente è 3 mesi e mezzo.
Dove è opportuno mettere un supermarket di componenti/prodotti finiti?</t>
  </si>
  <si>
    <t>Se il lead time per l'acquisto delle materie prime è pari a 1 mese, il lead time per produrre i vari componenti è di 2 mesi,il lead time per assemblare i componenti e spedire i prodotti finiti è pari a 1 mese. Nel caso in cui il lead time richiesto dal cliente è 5 mesi dove è opportuno mettere un supermarket di componenti/prodotti finiti</t>
  </si>
  <si>
    <t>Se il lead time per l'acquisto delle materie prime è pari a 1 mese, il lead time per produrre i vari componenti è di 2 mesi, il lead time per assemblare i componenti e spedire i prodotti finiti è pari a 1 mese. Nel caso in cui il lead time richiesto dal cliente è 2 mesi dove è opportuno mettere un supermarket di componenti/prodotti finiti</t>
  </si>
  <si>
    <t>Se il lead time per l'acquisto delle materie prime è pari a 1 mese, il lead time per produrre i vari componenti è di 2 mesi, il lead time per assemblare i componenti e spedire i prodotti finiti è pari a 1 mese. Nel caso in cui il lead time richiesto dal cliente è di una settimana dove è opportuno mettere un supermarket di componenti/prodotti finiti</t>
  </si>
  <si>
    <t>3,05€/pezzo</t>
  </si>
  <si>
    <t>Generare un report che nessuno consulta è muda anche se automatizzato (e dunque non richiede uno spreco di tempo da parte di una risorsa)</t>
  </si>
  <si>
    <t>Su quale leva può realisticamente agire un'azienda per migliorare i propri risultati sul mercato?</t>
  </si>
  <si>
    <t>In un audit, si scopre che le aree pulite il venerdì sono di nuovo sporche il lunedì. Quale S risulta debole?</t>
  </si>
  <si>
    <t>Dopo il completamento delle regolazioni di macchina, l'operatore avvia la produzione dei primi pezzi e ispeziona visivamente il risultato per verificare se sono conformi agli standard richiesti.
Questa attività è:</t>
  </si>
  <si>
    <t>Il metodo scelto può generare immobilizzo di capitale in scorte inutilizzate</t>
  </si>
  <si>
    <t>In magazzino, per accelerare i tempi, un team produce sempre un lotto extra oltre quanto richiesto dal kanban. Qual è il rischio più probabile?</t>
  </si>
  <si>
    <t>Un responsabile IT deve decidere quale nuovo software di gestione documentale acquistare. È opportuno fare problem solving o decision 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</si>
</sst>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0">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cellXfs>
  <cellStyles count="1">
    <cellStyle name="Normale" xfId="0" builtinId="0"/>
  </cellStyles>
  <dxfs count="17">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A81AA0-3C44-41D5-809E-1D0D3C2E7E3F}" name="Tabella2" displayName="Tabella2" ref="A1:O391" totalsRowShown="0" headerRowDxfId="16" dataDxfId="15">
  <autoFilter ref="A1:O391" xr:uid="{07A81AA0-3C44-41D5-809E-1D0D3C2E7E3F}"/>
  <tableColumns count="15">
    <tableColumn id="2" xr3:uid="{35279356-4FA6-4F4A-BBAE-FBD83C846B9F}" name="Azienda" dataDxfId="14"/>
    <tableColumn id="1" xr3:uid="{0AEACB9E-315D-42AD-9EB2-4410BFE481F3}" name="principio" dataDxfId="13"/>
    <tableColumn id="6" xr3:uid="{45122A2C-6B1F-4025-8A34-643D2643678D}" name="Domanda" dataDxfId="12"/>
    <tableColumn id="3" xr3:uid="{5C953421-D78A-4AD0-85B1-F6EB892A4E24}" name="opzione 1" dataDxfId="11"/>
    <tableColumn id="16" xr3:uid="{BFCC4D52-5E28-4B4B-AE6B-BA5ED1B938E0}" name="opzione 2" dataDxfId="10"/>
    <tableColumn id="15" xr3:uid="{4DB85411-77D1-4A74-8E0E-D16B8B8FA6C8}" name="opzione 3" dataDxfId="9"/>
    <tableColumn id="14" xr3:uid="{147C6FFD-FB32-4200-A8A7-85582DD559E0}" name="opzione 4" dataDxfId="8"/>
    <tableColumn id="13" xr3:uid="{9E28F307-8F4D-4E52-B262-91EAFCCC36E0}" name="opzione 5" dataDxfId="7"/>
    <tableColumn id="12" xr3:uid="{55D5373A-EB26-4A91-B619-17F1F3026538}" name="opzione 6" dataDxfId="6"/>
    <tableColumn id="11" xr3:uid="{E0614036-81A7-4023-9A81-A9F1F80FD868}" name="opzione 7" dataDxfId="5"/>
    <tableColumn id="10" xr3:uid="{CBD5D647-39CF-42CE-92BC-C98C25B6446D}" name="opzione 8" dataDxfId="4"/>
    <tableColumn id="9" xr3:uid="{DF513BE3-EF96-42A3-AC1E-CEC9C15F87A5}" name="opzione 9" dataDxfId="3"/>
    <tableColumn id="8" xr3:uid="{341BBB8F-E2DB-45B3-932E-336B1D15296D}" name="opzione 10" dataDxfId="2"/>
    <tableColumn id="4" xr3:uid="{04A9CEE0-0A00-4159-B388-3C1406166A80}" name="Corretta" dataDxfId="1"/>
    <tableColumn id="5" xr3:uid="{7544616A-C1F7-4ADC-B99B-48EE67F3A267}" name="Colonna1" dataDxfId="0">
      <calculatedColumnFormula array="1">_xlfn.XLOOKUP(Tabella2[[#This Row],[Corretta]],Tabella2[[#This Row],[opzione 1]:[opzione 10]],Tabella2[[#This Row],[opzione 1]:[opzione 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0EE1-EAB9-4F3C-8742-AE520DE6DB89}">
  <dimension ref="A1:O391"/>
  <sheetViews>
    <sheetView tabSelected="1" topLeftCell="C44" zoomScale="85" zoomScaleNormal="85" workbookViewId="0">
      <selection activeCell="D45" sqref="D45"/>
    </sheetView>
  </sheetViews>
  <sheetFormatPr defaultColWidth="8.88671875" defaultRowHeight="14.4" x14ac:dyDescent="0.3"/>
  <cols>
    <col min="1" max="1" width="39.21875" style="4" customWidth="1"/>
    <col min="2" max="2" width="54.33203125" style="4" customWidth="1"/>
    <col min="3" max="3" width="83.5546875" style="3" customWidth="1"/>
    <col min="4" max="6" width="70.109375" style="3" customWidth="1"/>
    <col min="7" max="7" width="84.77734375" style="3" customWidth="1"/>
    <col min="8" max="10" width="70.109375" style="3" customWidth="1"/>
    <col min="11" max="13" width="8.88671875" style="4"/>
    <col min="14" max="14" width="49" style="4" customWidth="1"/>
    <col min="15" max="16384" width="8.88671875" style="4"/>
  </cols>
  <sheetData>
    <row r="1" spans="1:15" ht="28.8" x14ac:dyDescent="0.3">
      <c r="A1" s="4" t="s">
        <v>567</v>
      </c>
      <c r="B1" s="1" t="s">
        <v>0</v>
      </c>
      <c r="C1" s="2" t="s">
        <v>1</v>
      </c>
      <c r="D1" s="3" t="s">
        <v>2</v>
      </c>
      <c r="E1" s="3" t="s">
        <v>3</v>
      </c>
      <c r="F1" s="3" t="s">
        <v>4</v>
      </c>
      <c r="G1" s="3" t="s">
        <v>5</v>
      </c>
      <c r="H1" s="3" t="s">
        <v>6</v>
      </c>
      <c r="I1" s="3" t="s">
        <v>7</v>
      </c>
      <c r="J1" s="3" t="s">
        <v>8</v>
      </c>
      <c r="K1" s="3" t="s">
        <v>9</v>
      </c>
      <c r="L1" s="3" t="s">
        <v>10</v>
      </c>
      <c r="M1" s="3" t="s">
        <v>11</v>
      </c>
      <c r="N1" s="3" t="s">
        <v>256</v>
      </c>
      <c r="O1" s="4" t="s">
        <v>756</v>
      </c>
    </row>
    <row r="2" spans="1:15" ht="43.2" x14ac:dyDescent="0.3">
      <c r="A2" s="5" t="s">
        <v>568</v>
      </c>
      <c r="B2" s="5" t="s">
        <v>12</v>
      </c>
      <c r="C2" s="5" t="s">
        <v>13</v>
      </c>
      <c r="D2" s="5" t="s">
        <v>14</v>
      </c>
      <c r="E2" s="5" t="s">
        <v>272</v>
      </c>
      <c r="F2" s="5" t="s">
        <v>15</v>
      </c>
      <c r="G2" s="5" t="s">
        <v>145</v>
      </c>
      <c r="H2" s="5" t="s">
        <v>145</v>
      </c>
      <c r="I2" s="5" t="s">
        <v>145</v>
      </c>
      <c r="J2" s="5" t="s">
        <v>145</v>
      </c>
      <c r="K2" s="5" t="s">
        <v>145</v>
      </c>
      <c r="L2" s="5" t="s">
        <v>145</v>
      </c>
      <c r="M2" s="5" t="s">
        <v>145</v>
      </c>
      <c r="N2" s="5" t="s">
        <v>14</v>
      </c>
      <c r="O2" s="5" t="str" cm="1">
        <f t="array" ref="O2">_xlfn.XLOOKUP(Tabella2[[#This Row],[Corretta]],Tabella2[[#This Row],[opzione 1]:[opzione 10]],Tabella2[[#This Row],[opzione 1]:[opzione 10]])</f>
        <v>Leading by example</v>
      </c>
    </row>
    <row r="3" spans="1:15" ht="115.2" x14ac:dyDescent="0.3">
      <c r="A3" s="5" t="s">
        <v>568</v>
      </c>
      <c r="B3" s="5" t="s">
        <v>12</v>
      </c>
      <c r="C3" s="5" t="s">
        <v>16</v>
      </c>
      <c r="D3" s="5" t="s">
        <v>17</v>
      </c>
      <c r="E3" s="5" t="s">
        <v>273</v>
      </c>
      <c r="F3" s="5" t="s">
        <v>274</v>
      </c>
      <c r="G3" s="5" t="s">
        <v>275</v>
      </c>
      <c r="H3" s="5" t="s">
        <v>145</v>
      </c>
      <c r="I3" s="5" t="s">
        <v>145</v>
      </c>
      <c r="J3" s="5" t="s">
        <v>145</v>
      </c>
      <c r="K3" s="5" t="s">
        <v>145</v>
      </c>
      <c r="L3" s="5" t="s">
        <v>145</v>
      </c>
      <c r="M3" s="5" t="s">
        <v>145</v>
      </c>
      <c r="N3" s="5" t="s">
        <v>17</v>
      </c>
      <c r="O3" s="5" t="str" cm="1">
        <f t="array" ref="O3">_xlfn.XLOOKUP(Tabella2[[#This Row],[Corretta]],Tabella2[[#This Row],[opzione 1]:[opzione 10]],Tabella2[[#This Row],[opzione 1]:[opzione 10]])</f>
        <v>È un sistema, fatto di principi, tecniche e metodi e strumenti</v>
      </c>
    </row>
    <row r="4" spans="1:15" x14ac:dyDescent="0.3">
      <c r="A4" s="5" t="s">
        <v>568</v>
      </c>
      <c r="B4" s="5" t="s">
        <v>12</v>
      </c>
      <c r="C4" s="5" t="s">
        <v>18</v>
      </c>
      <c r="D4" s="5" t="s">
        <v>826</v>
      </c>
      <c r="E4" s="5" t="s">
        <v>828</v>
      </c>
      <c r="F4" s="5" t="s">
        <v>827</v>
      </c>
      <c r="G4" s="5" t="s">
        <v>278</v>
      </c>
      <c r="H4" s="5" t="s">
        <v>145</v>
      </c>
      <c r="I4" s="5" t="s">
        <v>145</v>
      </c>
      <c r="J4" s="5" t="s">
        <v>145</v>
      </c>
      <c r="K4" s="5" t="s">
        <v>145</v>
      </c>
      <c r="L4" s="5" t="s">
        <v>145</v>
      </c>
      <c r="M4" s="5" t="s">
        <v>145</v>
      </c>
      <c r="N4" s="5" t="s">
        <v>826</v>
      </c>
      <c r="O4" s="5" t="str" cm="1">
        <f t="array" ref="O4">_xlfn.XLOOKUP(Tabella2[[#This Row],[Corretta]],Tabella2[[#This Row],[opzione 1]:[opzione 10]],Tabella2[[#This Row],[opzione 1]:[opzione 10]])</f>
        <v>Le 4D</v>
      </c>
    </row>
    <row r="5" spans="1:15" ht="28.8" x14ac:dyDescent="0.3">
      <c r="A5" s="5" t="s">
        <v>568</v>
      </c>
      <c r="B5" s="5" t="s">
        <v>12</v>
      </c>
      <c r="C5" s="5" t="s">
        <v>19</v>
      </c>
      <c r="D5" s="5" t="s">
        <v>20</v>
      </c>
      <c r="E5" s="5" t="s">
        <v>21</v>
      </c>
      <c r="F5" s="5" t="s">
        <v>279</v>
      </c>
      <c r="G5" s="5" t="s">
        <v>280</v>
      </c>
      <c r="H5" s="5" t="s">
        <v>22</v>
      </c>
      <c r="I5" s="5" t="s">
        <v>281</v>
      </c>
      <c r="J5" s="5" t="s">
        <v>23</v>
      </c>
      <c r="K5" s="5" t="s">
        <v>282</v>
      </c>
      <c r="L5" s="5" t="s">
        <v>24</v>
      </c>
      <c r="M5" s="5" t="s">
        <v>25</v>
      </c>
      <c r="N5" s="5" t="s">
        <v>671</v>
      </c>
      <c r="O5" s="5" t="e" cm="1">
        <f t="array" ref="O5">_xlfn.XLOOKUP(Tabella2[[#This Row],[Corretta]],Tabella2[[#This Row],[opzione 1]:[opzione 10]],Tabella2[[#This Row],[opzione 1]:[opzione 10]])</f>
        <v>#N/A</v>
      </c>
    </row>
    <row r="6" spans="1:15" ht="158.4" x14ac:dyDescent="0.3">
      <c r="A6" s="5" t="s">
        <v>568</v>
      </c>
      <c r="B6" s="5" t="s">
        <v>12</v>
      </c>
      <c r="C6" s="5" t="s">
        <v>283</v>
      </c>
      <c r="D6" s="5" t="s">
        <v>26</v>
      </c>
      <c r="E6" s="5" t="s">
        <v>27</v>
      </c>
      <c r="F6" s="5" t="s">
        <v>28</v>
      </c>
      <c r="G6" s="5" t="s">
        <v>145</v>
      </c>
      <c r="H6" s="5" t="s">
        <v>145</v>
      </c>
      <c r="I6" s="5" t="s">
        <v>145</v>
      </c>
      <c r="J6" s="5" t="s">
        <v>145</v>
      </c>
      <c r="K6" s="5" t="s">
        <v>145</v>
      </c>
      <c r="L6" s="5" t="s">
        <v>145</v>
      </c>
      <c r="M6" s="5" t="s">
        <v>145</v>
      </c>
      <c r="N6" s="5" t="s">
        <v>26</v>
      </c>
      <c r="O6" s="5" t="str" cm="1">
        <f t="array" ref="O6">_xlfn.XLOOKUP(Tabella2[[#This Row],[Corretta]],Tabella2[[#This Row],[opzione 1]:[opzione 10]],Tabella2[[#This Row],[opzione 1]:[opzione 10]])</f>
        <v>È la fase di misurazione e analisi dei processi dell’azienda allo stato attuale</v>
      </c>
    </row>
    <row r="7" spans="1:15" ht="86.4" x14ac:dyDescent="0.3">
      <c r="A7" s="5" t="s">
        <v>568</v>
      </c>
      <c r="B7" s="5" t="s">
        <v>12</v>
      </c>
      <c r="C7" s="5" t="s">
        <v>284</v>
      </c>
      <c r="D7" s="5" t="s">
        <v>26</v>
      </c>
      <c r="E7" s="5" t="s">
        <v>27</v>
      </c>
      <c r="F7" s="5" t="s">
        <v>28</v>
      </c>
      <c r="G7" s="5" t="s">
        <v>145</v>
      </c>
      <c r="H7" s="5" t="s">
        <v>145</v>
      </c>
      <c r="I7" s="5" t="s">
        <v>145</v>
      </c>
      <c r="J7" s="5" t="s">
        <v>145</v>
      </c>
      <c r="K7" s="5" t="s">
        <v>145</v>
      </c>
      <c r="L7" s="5" t="s">
        <v>145</v>
      </c>
      <c r="M7" s="5" t="s">
        <v>145</v>
      </c>
      <c r="N7" s="5" t="s">
        <v>27</v>
      </c>
      <c r="O7" s="5" t="str" cm="1">
        <f t="array" ref="O7">_xlfn.XLOOKUP(Tabella2[[#This Row],[Corretta]],Tabella2[[#This Row],[opzione 1]:[opzione 10]],Tabella2[[#This Row],[opzione 1]:[opzione 10]])</f>
        <v>È la fase di riprogettazione dell'azienda</v>
      </c>
    </row>
    <row r="8" spans="1:15" x14ac:dyDescent="0.3">
      <c r="A8" s="5" t="s">
        <v>568</v>
      </c>
      <c r="B8" s="5" t="s">
        <v>12</v>
      </c>
      <c r="C8" s="5" t="s">
        <v>754</v>
      </c>
      <c r="D8" s="5">
        <v>1</v>
      </c>
      <c r="E8" s="5">
        <v>2</v>
      </c>
      <c r="F8" s="5">
        <v>3</v>
      </c>
      <c r="G8" s="5">
        <v>4</v>
      </c>
      <c r="H8" s="5" t="s">
        <v>145</v>
      </c>
      <c r="I8" s="5" t="s">
        <v>145</v>
      </c>
      <c r="J8" s="5" t="s">
        <v>145</v>
      </c>
      <c r="K8" s="5" t="s">
        <v>145</v>
      </c>
      <c r="L8" s="5" t="s">
        <v>145</v>
      </c>
      <c r="M8" s="5" t="s">
        <v>145</v>
      </c>
      <c r="N8" s="5">
        <v>3</v>
      </c>
      <c r="O8" s="5" cm="1">
        <f t="array" ref="O8">_xlfn.XLOOKUP(Tabella2[[#This Row],[Corretta]],Tabella2[[#This Row],[opzione 1]:[opzione 10]],Tabella2[[#This Row],[opzione 1]:[opzione 10]])</f>
        <v>3</v>
      </c>
    </row>
    <row r="9" spans="1:15" x14ac:dyDescent="0.3">
      <c r="A9" s="5" t="s">
        <v>568</v>
      </c>
      <c r="B9" s="5" t="s">
        <v>12</v>
      </c>
      <c r="C9" s="5" t="s">
        <v>753</v>
      </c>
      <c r="D9" s="5" t="s">
        <v>209</v>
      </c>
      <c r="E9" s="5" t="s">
        <v>210</v>
      </c>
      <c r="F9" s="5"/>
      <c r="G9" s="5"/>
      <c r="H9" s="5"/>
      <c r="I9" s="5"/>
      <c r="J9" s="5"/>
      <c r="K9" s="5"/>
      <c r="L9" s="5"/>
      <c r="M9" s="5"/>
      <c r="N9" s="5" t="s">
        <v>209</v>
      </c>
      <c r="O9" s="5" t="str" cm="1">
        <f t="array" ref="O9">_xlfn.XLOOKUP(Tabella2[[#This Row],[Corretta]],Tabella2[[#This Row],[opzione 1]:[opzione 10]],Tabella2[[#This Row],[opzione 1]:[opzione 10]])</f>
        <v>Si</v>
      </c>
    </row>
    <row r="10" spans="1:15" x14ac:dyDescent="0.3">
      <c r="A10" s="5" t="s">
        <v>568</v>
      </c>
      <c r="B10" s="5" t="s">
        <v>12</v>
      </c>
      <c r="C10" s="5" t="s">
        <v>29</v>
      </c>
      <c r="D10" s="5" t="s">
        <v>30</v>
      </c>
      <c r="E10" s="5" t="s">
        <v>31</v>
      </c>
      <c r="F10" s="5" t="s">
        <v>32</v>
      </c>
      <c r="G10" s="5" t="s">
        <v>33</v>
      </c>
      <c r="H10" s="5" t="s">
        <v>145</v>
      </c>
      <c r="I10" s="5" t="s">
        <v>145</v>
      </c>
      <c r="J10" s="5" t="s">
        <v>145</v>
      </c>
      <c r="K10" s="5" t="s">
        <v>145</v>
      </c>
      <c r="L10" s="5" t="s">
        <v>145</v>
      </c>
      <c r="M10" s="5" t="s">
        <v>145</v>
      </c>
      <c r="N10" s="5" t="s">
        <v>34</v>
      </c>
      <c r="O10" s="5" t="e" cm="1">
        <f t="array" ref="O10">_xlfn.XLOOKUP(Tabella2[[#This Row],[Corretta]],Tabella2[[#This Row],[opzione 1]:[opzione 10]],Tabella2[[#This Row],[opzione 1]:[opzione 10]])</f>
        <v>#N/A</v>
      </c>
    </row>
    <row r="11" spans="1:15" ht="28.8" x14ac:dyDescent="0.3">
      <c r="A11" s="5" t="s">
        <v>568</v>
      </c>
      <c r="B11" s="5" t="s">
        <v>35</v>
      </c>
      <c r="C11" s="5" t="s">
        <v>36</v>
      </c>
      <c r="D11" s="5" t="s">
        <v>285</v>
      </c>
      <c r="E11" s="5" t="s">
        <v>286</v>
      </c>
      <c r="F11" s="5" t="s">
        <v>287</v>
      </c>
      <c r="G11" s="5" t="s">
        <v>288</v>
      </c>
      <c r="H11" s="5" t="s">
        <v>145</v>
      </c>
      <c r="I11" s="5" t="s">
        <v>145</v>
      </c>
      <c r="J11" s="5" t="s">
        <v>145</v>
      </c>
      <c r="K11" s="5" t="s">
        <v>145</v>
      </c>
      <c r="L11" s="5" t="s">
        <v>145</v>
      </c>
      <c r="M11" s="5" t="s">
        <v>145</v>
      </c>
      <c r="N11" s="5" t="s">
        <v>433</v>
      </c>
      <c r="O11" s="5" t="e" cm="1">
        <f t="array" ref="O11">_xlfn.XLOOKUP(Tabella2[[#This Row],[Corretta]],Tabella2[[#This Row],[opzione 1]:[opzione 10]],Tabella2[[#This Row],[opzione 1]:[opzione 10]])</f>
        <v>#N/A</v>
      </c>
    </row>
    <row r="12" spans="1:15" x14ac:dyDescent="0.3">
      <c r="A12" s="5" t="s">
        <v>568</v>
      </c>
      <c r="B12" s="5" t="s">
        <v>35</v>
      </c>
      <c r="C12" s="5" t="s">
        <v>37</v>
      </c>
      <c r="D12" s="5" t="s">
        <v>38</v>
      </c>
      <c r="E12" s="5" t="s">
        <v>39</v>
      </c>
      <c r="F12" s="5" t="s">
        <v>40</v>
      </c>
      <c r="G12" s="5" t="s">
        <v>41</v>
      </c>
      <c r="H12" s="5" t="s">
        <v>42</v>
      </c>
      <c r="I12" s="5" t="s">
        <v>145</v>
      </c>
      <c r="J12" s="5" t="s">
        <v>145</v>
      </c>
      <c r="K12" s="5" t="s">
        <v>145</v>
      </c>
      <c r="L12" s="5" t="s">
        <v>145</v>
      </c>
      <c r="M12" s="5" t="s">
        <v>145</v>
      </c>
      <c r="N12" s="5" t="s">
        <v>757</v>
      </c>
      <c r="O12" s="5" t="e" cm="1">
        <f t="array" ref="O12">_xlfn.XLOOKUP(Tabella2[[#This Row],[Corretta]],Tabella2[[#This Row],[opzione 1]:[opzione 10]],Tabella2[[#This Row],[opzione 1]:[opzione 10]])</f>
        <v>#N/A</v>
      </c>
    </row>
    <row r="13" spans="1:15" ht="158.4" x14ac:dyDescent="0.3">
      <c r="A13" s="5" t="s">
        <v>568</v>
      </c>
      <c r="B13" s="5" t="s">
        <v>44</v>
      </c>
      <c r="C13" s="5" t="s">
        <v>45</v>
      </c>
      <c r="D13" s="5" t="s">
        <v>434</v>
      </c>
      <c r="E13" s="5" t="s">
        <v>289</v>
      </c>
      <c r="F13" s="5" t="s">
        <v>290</v>
      </c>
      <c r="G13" s="5" t="s">
        <v>291</v>
      </c>
      <c r="H13" s="5" t="s">
        <v>145</v>
      </c>
      <c r="I13" s="5" t="s">
        <v>145</v>
      </c>
      <c r="J13" s="5" t="s">
        <v>145</v>
      </c>
      <c r="K13" s="5" t="s">
        <v>145</v>
      </c>
      <c r="L13" s="5" t="s">
        <v>145</v>
      </c>
      <c r="M13" s="5" t="s">
        <v>145</v>
      </c>
      <c r="N13" s="5" t="s">
        <v>434</v>
      </c>
      <c r="O13" s="5" t="str" cm="1">
        <f t="array" ref="O13">_xlfn.XLOOKUP(Tabella2[[#This Row],[Corretta]],Tabella2[[#This Row],[opzione 1]:[opzione 10]],Tabella2[[#This Row],[opzione 1]:[opzione 10]])</f>
        <v>Un insieme di operazioni o fasi che trasforma un insieme di input in un output</v>
      </c>
    </row>
    <row r="14" spans="1:15" ht="259.2" x14ac:dyDescent="0.3">
      <c r="A14" s="5" t="s">
        <v>568</v>
      </c>
      <c r="B14" s="5" t="s">
        <v>44</v>
      </c>
      <c r="C14" s="5" t="s">
        <v>46</v>
      </c>
      <c r="D14" s="5" t="s">
        <v>435</v>
      </c>
      <c r="E14" s="5" t="s">
        <v>47</v>
      </c>
      <c r="F14" s="5" t="s">
        <v>48</v>
      </c>
      <c r="G14" s="5" t="s">
        <v>292</v>
      </c>
      <c r="H14" s="5" t="s">
        <v>145</v>
      </c>
      <c r="I14" s="5" t="s">
        <v>145</v>
      </c>
      <c r="J14" s="5" t="s">
        <v>145</v>
      </c>
      <c r="K14" s="5" t="s">
        <v>145</v>
      </c>
      <c r="L14" s="5" t="s">
        <v>145</v>
      </c>
      <c r="M14" s="5" t="s">
        <v>145</v>
      </c>
      <c r="N14" s="5" t="s">
        <v>48</v>
      </c>
      <c r="O14" s="5" t="str" cm="1">
        <f t="array" ref="O14">_xlfn.XLOOKUP(Tabella2[[#This Row],[Corretta]],Tabella2[[#This Row],[opzione 1]:[opzione 10]],Tabella2[[#This Row],[opzione 1]:[opzione 10]])</f>
        <v>Unità elementare di lavoro che fa variare lo stato o la posizione nello spazio di un oggetto materiale, immateriale o di una persona</v>
      </c>
    </row>
    <row r="15" spans="1:15" x14ac:dyDescent="0.3">
      <c r="A15" s="5" t="s">
        <v>568</v>
      </c>
      <c r="B15" s="5" t="s">
        <v>44</v>
      </c>
      <c r="C15" s="5" t="s">
        <v>733</v>
      </c>
      <c r="D15" s="5" t="s">
        <v>49</v>
      </c>
      <c r="E15" s="5" t="s">
        <v>50</v>
      </c>
      <c r="F15" s="5" t="s">
        <v>51</v>
      </c>
      <c r="G15" s="5" t="s">
        <v>52</v>
      </c>
      <c r="H15" s="5" t="s">
        <v>145</v>
      </c>
      <c r="I15" s="5" t="s">
        <v>145</v>
      </c>
      <c r="J15" s="5" t="s">
        <v>145</v>
      </c>
      <c r="K15" s="5" t="s">
        <v>145</v>
      </c>
      <c r="L15" s="5" t="s">
        <v>145</v>
      </c>
      <c r="M15" s="5" t="s">
        <v>145</v>
      </c>
      <c r="N15" s="5" t="s">
        <v>50</v>
      </c>
      <c r="O15" s="5" t="str" cm="1">
        <f t="array" ref="O15">_xlfn.XLOOKUP(Tabella2[[#This Row],[Corretta]],Tabella2[[#This Row],[opzione 1]:[opzione 10]],Tabella2[[#This Row],[opzione 1]:[opzione 10]])</f>
        <v>Flusso informativo, flusso operativo, workflow</v>
      </c>
    </row>
    <row r="16" spans="1:15" ht="216" x14ac:dyDescent="0.3">
      <c r="A16" s="5" t="s">
        <v>568</v>
      </c>
      <c r="B16" s="5" t="s">
        <v>44</v>
      </c>
      <c r="C16" s="5" t="s">
        <v>293</v>
      </c>
      <c r="D16" s="5" t="s">
        <v>294</v>
      </c>
      <c r="E16" s="5" t="s">
        <v>295</v>
      </c>
      <c r="F16" s="5" t="s">
        <v>296</v>
      </c>
      <c r="G16" s="5" t="s">
        <v>297</v>
      </c>
      <c r="H16" s="5" t="s">
        <v>145</v>
      </c>
      <c r="I16" s="5" t="s">
        <v>145</v>
      </c>
      <c r="J16" s="5" t="s">
        <v>145</v>
      </c>
      <c r="K16" s="5" t="s">
        <v>145</v>
      </c>
      <c r="L16" s="5" t="s">
        <v>145</v>
      </c>
      <c r="M16" s="5" t="s">
        <v>145</v>
      </c>
      <c r="N16" s="5" t="s">
        <v>297</v>
      </c>
      <c r="O16" s="5" t="str" cm="1">
        <f t="array" ref="O16">_xlfn.XLOOKUP(Tabella2[[#This Row],[Corretta]],Tabella2[[#This Row],[opzione 1]:[opzione 10]],Tabella2[[#This Row],[opzione 1]:[opzione 10]])</f>
        <v>Jiidoka è la capacità di macchine e uomini di arrestarsi immediatamente all’insorgenza di un’anomalia nel processo</v>
      </c>
    </row>
    <row r="17" spans="1:15" ht="144" x14ac:dyDescent="0.3">
      <c r="A17" s="5" t="s">
        <v>568</v>
      </c>
      <c r="B17" s="5" t="s">
        <v>53</v>
      </c>
      <c r="C17" s="5" t="s">
        <v>54</v>
      </c>
      <c r="D17" s="5" t="s">
        <v>55</v>
      </c>
      <c r="E17" s="5" t="s">
        <v>56</v>
      </c>
      <c r="F17" s="5" t="s">
        <v>57</v>
      </c>
      <c r="G17" s="5" t="s">
        <v>58</v>
      </c>
      <c r="H17" s="5" t="s">
        <v>145</v>
      </c>
      <c r="I17" s="5" t="s">
        <v>145</v>
      </c>
      <c r="J17" s="5" t="s">
        <v>145</v>
      </c>
      <c r="K17" s="5" t="s">
        <v>145</v>
      </c>
      <c r="L17" s="5" t="s">
        <v>145</v>
      </c>
      <c r="M17" s="5" t="s">
        <v>145</v>
      </c>
      <c r="N17" s="5" t="s">
        <v>56</v>
      </c>
      <c r="O17" s="5" t="str" cm="1">
        <f t="array" ref="O17">_xlfn.XLOOKUP(Tabella2[[#This Row],[Corretta]],Tabella2[[#This Row],[opzione 1]:[opzione 10]],Tabella2[[#This Row],[opzione 1]:[opzione 10]])</f>
        <v>Sovrapproduzione, attese, trasporti, processi non corretti, scorte, movimenti, difetti</v>
      </c>
    </row>
    <row r="18" spans="1:15" ht="100.8" x14ac:dyDescent="0.3">
      <c r="A18" s="5" t="s">
        <v>568</v>
      </c>
      <c r="B18" s="5" t="s">
        <v>53</v>
      </c>
      <c r="C18" s="5" t="s">
        <v>59</v>
      </c>
      <c r="D18" s="5" t="s">
        <v>60</v>
      </c>
      <c r="E18" s="5" t="s">
        <v>61</v>
      </c>
      <c r="F18" s="5" t="s">
        <v>62</v>
      </c>
      <c r="G18" s="5" t="s">
        <v>63</v>
      </c>
      <c r="H18" s="5" t="s">
        <v>145</v>
      </c>
      <c r="I18" s="5" t="s">
        <v>145</v>
      </c>
      <c r="J18" s="5" t="s">
        <v>145</v>
      </c>
      <c r="K18" s="5" t="s">
        <v>145</v>
      </c>
      <c r="L18" s="5" t="s">
        <v>145</v>
      </c>
      <c r="M18" s="5" t="s">
        <v>145</v>
      </c>
      <c r="N18" s="5" t="s">
        <v>60</v>
      </c>
      <c r="O18" s="5" t="str" cm="1">
        <f t="array" ref="O18">_xlfn.XLOOKUP(Tabella2[[#This Row],[Corretta]],Tabella2[[#This Row],[opzione 1]:[opzione 10]],Tabella2[[#This Row],[opzione 1]:[opzione 10]])</f>
        <v>Perché può generare a cascata tutti gli altri muda</v>
      </c>
    </row>
    <row r="19" spans="1:15" ht="28.8" x14ac:dyDescent="0.3">
      <c r="A19" s="5" t="s">
        <v>568</v>
      </c>
      <c r="B19" s="5" t="s">
        <v>53</v>
      </c>
      <c r="C19" s="5" t="s">
        <v>825</v>
      </c>
      <c r="D19" s="5" t="s">
        <v>299</v>
      </c>
      <c r="E19" s="5" t="s">
        <v>300</v>
      </c>
      <c r="F19" s="5" t="s">
        <v>301</v>
      </c>
      <c r="G19" s="5" t="s">
        <v>145</v>
      </c>
      <c r="H19" s="5" t="s">
        <v>145</v>
      </c>
      <c r="I19" s="5" t="s">
        <v>145</v>
      </c>
      <c r="J19" s="5" t="s">
        <v>145</v>
      </c>
      <c r="K19" s="5" t="s">
        <v>145</v>
      </c>
      <c r="L19" s="5" t="s">
        <v>145</v>
      </c>
      <c r="M19" s="5" t="s">
        <v>145</v>
      </c>
      <c r="N19" s="5" t="s">
        <v>300</v>
      </c>
      <c r="O19" s="5" t="str" cm="1">
        <f t="array" ref="O19">_xlfn.XLOOKUP(Tabella2[[#This Row],[Corretta]],Tabella2[[#This Row],[opzione 1]:[opzione 10]],Tabella2[[#This Row],[opzione 1]:[opzione 10]])</f>
        <v>Nva-2</v>
      </c>
    </row>
    <row r="20" spans="1:15" x14ac:dyDescent="0.3">
      <c r="A20" s="5" t="s">
        <v>568</v>
      </c>
      <c r="B20" s="5" t="s">
        <v>53</v>
      </c>
      <c r="C20" s="5" t="s">
        <v>782</v>
      </c>
      <c r="D20" s="5" t="s">
        <v>303</v>
      </c>
      <c r="E20" s="5" t="s">
        <v>304</v>
      </c>
      <c r="F20" s="5" t="s">
        <v>305</v>
      </c>
      <c r="G20" s="5" t="s">
        <v>306</v>
      </c>
      <c r="H20" s="5" t="s">
        <v>145</v>
      </c>
      <c r="I20" s="5" t="s">
        <v>145</v>
      </c>
      <c r="J20" s="5" t="s">
        <v>145</v>
      </c>
      <c r="K20" s="5" t="s">
        <v>145</v>
      </c>
      <c r="L20" s="5" t="s">
        <v>145</v>
      </c>
      <c r="M20" s="5" t="s">
        <v>145</v>
      </c>
      <c r="N20" s="5" t="s">
        <v>304</v>
      </c>
      <c r="O20" s="5" t="str" cm="1">
        <f t="array" ref="O20">_xlfn.XLOOKUP(Tabella2[[#This Row],[Corretta]],Tabella2[[#This Row],[opzione 1]:[opzione 10]],Tabella2[[#This Row],[opzione 1]:[opzione 10]])</f>
        <v>Men, materials, methods, machines, environment</v>
      </c>
    </row>
    <row r="21" spans="1:15" ht="43.2" x14ac:dyDescent="0.3">
      <c r="A21" s="5" t="s">
        <v>568</v>
      </c>
      <c r="B21" s="5" t="s">
        <v>64</v>
      </c>
      <c r="C21" s="5" t="s">
        <v>65</v>
      </c>
      <c r="D21" s="5" t="s">
        <v>66</v>
      </c>
      <c r="E21" s="5" t="s">
        <v>67</v>
      </c>
      <c r="F21" s="5" t="s">
        <v>68</v>
      </c>
      <c r="G21" s="5" t="s">
        <v>69</v>
      </c>
      <c r="H21" s="5" t="s">
        <v>145</v>
      </c>
      <c r="I21" s="5" t="s">
        <v>145</v>
      </c>
      <c r="J21" s="5" t="s">
        <v>145</v>
      </c>
      <c r="K21" s="5" t="s">
        <v>145</v>
      </c>
      <c r="L21" s="5" t="s">
        <v>145</v>
      </c>
      <c r="M21" s="5" t="s">
        <v>145</v>
      </c>
      <c r="N21" s="5" t="s">
        <v>66</v>
      </c>
      <c r="O21" s="5" t="str" cm="1">
        <f t="array" ref="O21">_xlfn.XLOOKUP(Tabella2[[#This Row],[Corretta]],Tabella2[[#This Row],[opzione 1]:[opzione 10]],Tabella2[[#This Row],[opzione 1]:[opzione 10]])</f>
        <v>Qualità, costi e tempi</v>
      </c>
    </row>
    <row r="22" spans="1:15" ht="259.2" x14ac:dyDescent="0.3">
      <c r="A22" s="5" t="s">
        <v>568</v>
      </c>
      <c r="B22" s="5" t="s">
        <v>64</v>
      </c>
      <c r="C22" s="5" t="s">
        <v>308</v>
      </c>
      <c r="D22" s="5" t="s">
        <v>70</v>
      </c>
      <c r="E22" s="5" t="s">
        <v>71</v>
      </c>
      <c r="F22" s="5" t="s">
        <v>72</v>
      </c>
      <c r="G22" s="5" t="s">
        <v>73</v>
      </c>
      <c r="H22" s="5" t="s">
        <v>145</v>
      </c>
      <c r="I22" s="5" t="s">
        <v>145</v>
      </c>
      <c r="J22" s="5" t="s">
        <v>145</v>
      </c>
      <c r="K22" s="5" t="s">
        <v>145</v>
      </c>
      <c r="L22" s="5" t="s">
        <v>145</v>
      </c>
      <c r="M22" s="5" t="s">
        <v>145</v>
      </c>
      <c r="N22" s="5" t="s">
        <v>72</v>
      </c>
      <c r="O22" s="5" t="str" cm="1">
        <f t="array" ref="O22">_xlfn.XLOOKUP(Tabella2[[#This Row],[Corretta]],Tabella2[[#This Row],[opzione 1]:[opzione 10]],Tabella2[[#This Row],[opzione 1]:[opzione 10]])</f>
        <v>Tempo effettivo impiegato da una singola risorsa trasformante per processare interamente un'unità di prodotto, senza interruzioni</v>
      </c>
    </row>
    <row r="23" spans="1:15" x14ac:dyDescent="0.3">
      <c r="A23" s="5" t="s">
        <v>568</v>
      </c>
      <c r="B23" s="5" t="s">
        <v>64</v>
      </c>
      <c r="C23" s="5" t="s">
        <v>571</v>
      </c>
      <c r="D23" s="5" t="s">
        <v>74</v>
      </c>
      <c r="E23" s="5" t="s">
        <v>75</v>
      </c>
      <c r="F23" s="5" t="s">
        <v>309</v>
      </c>
      <c r="G23" s="5" t="s">
        <v>570</v>
      </c>
      <c r="H23" s="5" t="s">
        <v>145</v>
      </c>
      <c r="I23" s="5" t="s">
        <v>145</v>
      </c>
      <c r="J23" s="5" t="s">
        <v>145</v>
      </c>
      <c r="K23" s="5" t="s">
        <v>145</v>
      </c>
      <c r="L23" s="5" t="s">
        <v>145</v>
      </c>
      <c r="M23" s="5" t="s">
        <v>145</v>
      </c>
      <c r="N23" s="5" t="s">
        <v>74</v>
      </c>
      <c r="O23" s="5" t="str" cm="1">
        <f t="array" ref="O23">_xlfn.XLOOKUP(Tabella2[[#This Row],[Corretta]],Tabella2[[#This Row],[opzione 1]:[opzione 10]],Tabella2[[#This Row],[opzione 1]:[opzione 10]])</f>
        <v>Rappresenta il ritmo della domanda</v>
      </c>
    </row>
    <row r="24" spans="1:15" ht="43.2" x14ac:dyDescent="0.3">
      <c r="A24" s="5" t="s">
        <v>568</v>
      </c>
      <c r="B24" s="5" t="s">
        <v>64</v>
      </c>
      <c r="C24" s="5" t="s">
        <v>572</v>
      </c>
      <c r="D24" s="5" t="s">
        <v>76</v>
      </c>
      <c r="E24" s="5" t="s">
        <v>574</v>
      </c>
      <c r="F24" s="5" t="s">
        <v>573</v>
      </c>
      <c r="G24" s="5" t="s">
        <v>77</v>
      </c>
      <c r="H24" s="5" t="s">
        <v>145</v>
      </c>
      <c r="I24" s="5" t="s">
        <v>145</v>
      </c>
      <c r="J24" s="5" t="s">
        <v>145</v>
      </c>
      <c r="K24" s="5" t="s">
        <v>145</v>
      </c>
      <c r="L24" s="5" t="s">
        <v>145</v>
      </c>
      <c r="M24" s="5" t="s">
        <v>145</v>
      </c>
      <c r="N24" s="5" t="s">
        <v>77</v>
      </c>
      <c r="O24" s="5" t="str" cm="1">
        <f t="array" ref="O24">_xlfn.XLOOKUP(Tabella2[[#This Row],[Corretta]],Tabella2[[#This Row],[opzione 1]:[opzione 10]],Tabella2[[#This Row],[opzione 1]:[opzione 10]])</f>
        <v>252 s</v>
      </c>
    </row>
    <row r="25" spans="1:15" ht="43.2" x14ac:dyDescent="0.3">
      <c r="A25" s="5" t="s">
        <v>568</v>
      </c>
      <c r="B25" s="5" t="s">
        <v>64</v>
      </c>
      <c r="C25" s="5" t="s">
        <v>310</v>
      </c>
      <c r="D25" s="5" t="s">
        <v>74</v>
      </c>
      <c r="E25" s="5" t="s">
        <v>75</v>
      </c>
      <c r="F25" s="5" t="s">
        <v>78</v>
      </c>
      <c r="G25" s="5" t="s">
        <v>570</v>
      </c>
      <c r="H25" s="5" t="s">
        <v>145</v>
      </c>
      <c r="I25" s="5" t="s">
        <v>145</v>
      </c>
      <c r="J25" s="5" t="s">
        <v>145</v>
      </c>
      <c r="K25" s="5" t="s">
        <v>145</v>
      </c>
      <c r="L25" s="5" t="s">
        <v>145</v>
      </c>
      <c r="M25" s="5" t="s">
        <v>145</v>
      </c>
      <c r="N25" s="5" t="s">
        <v>78</v>
      </c>
      <c r="O25" s="5" t="str" cm="1">
        <f t="array" ref="O25">_xlfn.XLOOKUP(Tabella2[[#This Row],[Corretta]],Tabella2[[#This Row],[opzione 1]:[opzione 10]],Tabella2[[#This Row],[opzione 1]:[opzione 10]])</f>
        <v>Rappresenta il ritmo della produzione, ed indica quanto tempo passa, in media, tra l'uscita di due pezzi consecutivi dal processo (o dall'operazione)</v>
      </c>
    </row>
    <row r="26" spans="1:15" ht="100.8" x14ac:dyDescent="0.3">
      <c r="A26" s="5" t="s">
        <v>568</v>
      </c>
      <c r="B26" s="5" t="s">
        <v>64</v>
      </c>
      <c r="C26" s="5" t="s">
        <v>311</v>
      </c>
      <c r="D26" s="5" t="s">
        <v>79</v>
      </c>
      <c r="E26" s="5" t="s">
        <v>80</v>
      </c>
      <c r="F26" s="5" t="s">
        <v>802</v>
      </c>
      <c r="G26" s="5" t="s">
        <v>81</v>
      </c>
      <c r="H26" s="5" t="s">
        <v>145</v>
      </c>
      <c r="I26" s="5" t="s">
        <v>145</v>
      </c>
      <c r="J26" s="5" t="s">
        <v>145</v>
      </c>
      <c r="K26" s="5" t="s">
        <v>145</v>
      </c>
      <c r="L26" s="5" t="s">
        <v>145</v>
      </c>
      <c r="M26" s="5" t="s">
        <v>145</v>
      </c>
      <c r="N26" s="5" t="s">
        <v>81</v>
      </c>
      <c r="O26" s="5" t="str" cm="1">
        <f t="array" ref="O26">_xlfn.XLOOKUP(Tabella2[[#This Row],[Corretta]],Tabella2[[#This Row],[opzione 1]:[opzione 10]],Tabella2[[#This Row],[opzione 1]:[opzione 10]])</f>
        <v>Il numero di risorse è determinato sulla base del takt time</v>
      </c>
    </row>
    <row r="27" spans="1:15" x14ac:dyDescent="0.3">
      <c r="A27" s="5" t="s">
        <v>568</v>
      </c>
      <c r="B27" s="5" t="s">
        <v>64</v>
      </c>
      <c r="C27" s="5" t="s">
        <v>82</v>
      </c>
      <c r="D27" s="5" t="s">
        <v>800</v>
      </c>
      <c r="E27" s="5" t="s">
        <v>83</v>
      </c>
      <c r="F27" s="5" t="s">
        <v>314</v>
      </c>
      <c r="G27" s="5" t="s">
        <v>315</v>
      </c>
      <c r="H27" s="5" t="s">
        <v>145</v>
      </c>
      <c r="I27" s="5" t="s">
        <v>145</v>
      </c>
      <c r="J27" s="5" t="s">
        <v>145</v>
      </c>
      <c r="K27" s="5" t="s">
        <v>145</v>
      </c>
      <c r="L27" s="5" t="s">
        <v>145</v>
      </c>
      <c r="M27" s="5" t="s">
        <v>145</v>
      </c>
      <c r="N27" s="5" t="s">
        <v>800</v>
      </c>
      <c r="O27" s="5" t="str" cm="1">
        <f t="array" ref="O27">_xlfn.XLOOKUP(Tabella2[[#This Row],[Corretta]],Tabella2[[#This Row],[opzione 1]:[opzione 10]],Tabella2[[#This Row],[opzione 1]:[opzione 10]])</f>
        <v>Demand time e LT di risposta</v>
      </c>
    </row>
    <row r="28" spans="1:15" ht="115.2" x14ac:dyDescent="0.3">
      <c r="A28" s="5" t="s">
        <v>568</v>
      </c>
      <c r="B28" s="5" t="s">
        <v>64</v>
      </c>
      <c r="C28" s="5" t="s">
        <v>84</v>
      </c>
      <c r="D28" s="5" t="s">
        <v>85</v>
      </c>
      <c r="E28" s="5" t="s">
        <v>86</v>
      </c>
      <c r="F28" s="5" t="s">
        <v>87</v>
      </c>
      <c r="G28" s="5" t="s">
        <v>88</v>
      </c>
      <c r="H28" s="5" t="s">
        <v>145</v>
      </c>
      <c r="I28" s="5" t="s">
        <v>145</v>
      </c>
      <c r="J28" s="5" t="s">
        <v>145</v>
      </c>
      <c r="K28" s="5" t="s">
        <v>145</v>
      </c>
      <c r="L28" s="5" t="s">
        <v>145</v>
      </c>
      <c r="M28" s="5" t="s">
        <v>145</v>
      </c>
      <c r="N28" s="5" t="s">
        <v>85</v>
      </c>
      <c r="O28" s="5" t="str" cm="1">
        <f t="array" ref="O28">_xlfn.XLOOKUP(Tabella2[[#This Row],[Corretta]],Tabella2[[#This Row],[opzione 1]:[opzione 10]],Tabella2[[#This Row],[opzione 1]:[opzione 10]])</f>
        <v>È uno strumento per il controllo del flusso pull disaccoppiato</v>
      </c>
    </row>
    <row r="29" spans="1:15" x14ac:dyDescent="0.3">
      <c r="A29" s="5" t="s">
        <v>568</v>
      </c>
      <c r="B29" s="5" t="s">
        <v>89</v>
      </c>
      <c r="C29" s="5" t="s">
        <v>90</v>
      </c>
      <c r="D29" s="5" t="s">
        <v>316</v>
      </c>
      <c r="E29" s="5" t="s">
        <v>91</v>
      </c>
      <c r="F29" s="5" t="s">
        <v>92</v>
      </c>
      <c r="G29" s="5" t="s">
        <v>93</v>
      </c>
      <c r="H29" s="5" t="s">
        <v>145</v>
      </c>
      <c r="I29" s="5" t="s">
        <v>145</v>
      </c>
      <c r="J29" s="5" t="s">
        <v>145</v>
      </c>
      <c r="K29" s="5" t="s">
        <v>145</v>
      </c>
      <c r="L29" s="5" t="s">
        <v>145</v>
      </c>
      <c r="M29" s="5" t="s">
        <v>145</v>
      </c>
      <c r="N29" s="5" t="s">
        <v>316</v>
      </c>
      <c r="O29" s="5" t="str" cm="1">
        <f t="array" ref="O29">_xlfn.XLOOKUP(Tabella2[[#This Row],[Corretta]],Tabella2[[#This Row],[opzione 1]:[opzione 10]],Tabella2[[#This Row],[opzione 1]:[opzione 10]])</f>
        <v>Specifico, misurabile, adottabile, rilevante, temporale</v>
      </c>
    </row>
    <row r="30" spans="1:15" ht="100.8" x14ac:dyDescent="0.3">
      <c r="A30" s="5" t="s">
        <v>568</v>
      </c>
      <c r="B30" s="5" t="s">
        <v>94</v>
      </c>
      <c r="C30" s="5" t="s">
        <v>271</v>
      </c>
      <c r="D30" s="5" t="s">
        <v>317</v>
      </c>
      <c r="E30" s="5" t="s">
        <v>318</v>
      </c>
      <c r="F30" s="5" t="s">
        <v>319</v>
      </c>
      <c r="G30" s="5" t="s">
        <v>320</v>
      </c>
      <c r="H30" s="5" t="s">
        <v>145</v>
      </c>
      <c r="I30" s="5" t="s">
        <v>145</v>
      </c>
      <c r="J30" s="5" t="s">
        <v>145</v>
      </c>
      <c r="K30" s="5" t="s">
        <v>145</v>
      </c>
      <c r="L30" s="5" t="s">
        <v>145</v>
      </c>
      <c r="M30" s="5" t="s">
        <v>145</v>
      </c>
      <c r="N30" s="5" t="s">
        <v>319</v>
      </c>
      <c r="O30" s="5" t="str" cm="1">
        <f t="array" ref="O30">_xlfn.XLOOKUP(Tabella2[[#This Row],[Corretta]],Tabella2[[#This Row],[opzione 1]:[opzione 10]],Tabella2[[#This Row],[opzione 1]:[opzione 10]])</f>
        <v>Cercare di trasformare i resistenti in innovatori</v>
      </c>
    </row>
    <row r="31" spans="1:15" x14ac:dyDescent="0.3">
      <c r="A31" s="5" t="s">
        <v>568</v>
      </c>
      <c r="B31" s="5" t="s">
        <v>94</v>
      </c>
      <c r="C31" s="5" t="s">
        <v>95</v>
      </c>
      <c r="D31" s="5" t="s">
        <v>96</v>
      </c>
      <c r="E31" s="5" t="s">
        <v>766</v>
      </c>
      <c r="F31" s="5" t="s">
        <v>96</v>
      </c>
      <c r="G31" s="5" t="s">
        <v>98</v>
      </c>
      <c r="H31" s="5" t="s">
        <v>145</v>
      </c>
      <c r="I31" s="5" t="s">
        <v>145</v>
      </c>
      <c r="J31" s="5" t="s">
        <v>145</v>
      </c>
      <c r="K31" s="5" t="s">
        <v>145</v>
      </c>
      <c r="L31" s="5" t="s">
        <v>145</v>
      </c>
      <c r="M31" s="5" t="s">
        <v>145</v>
      </c>
      <c r="N31" s="5" t="s">
        <v>766</v>
      </c>
      <c r="O31" s="5" t="str" cm="1">
        <f t="array" ref="O31">_xlfn.XLOOKUP(Tabella2[[#This Row],[Corretta]],Tabella2[[#This Row],[opzione 1]:[opzione 10]],Tabella2[[#This Row],[opzione 1]:[opzione 10]])</f>
        <v>Oppositori, resistenti, innovatori</v>
      </c>
    </row>
    <row r="32" spans="1:15" ht="360" x14ac:dyDescent="0.3">
      <c r="A32" s="5" t="s">
        <v>568</v>
      </c>
      <c r="B32" s="5" t="s">
        <v>321</v>
      </c>
      <c r="C32" s="5" t="s">
        <v>322</v>
      </c>
      <c r="D32" s="5" t="s">
        <v>323</v>
      </c>
      <c r="E32" s="5" t="s">
        <v>324</v>
      </c>
      <c r="F32" s="5" t="s">
        <v>325</v>
      </c>
      <c r="G32" s="5" t="s">
        <v>326</v>
      </c>
      <c r="H32" s="5" t="s">
        <v>145</v>
      </c>
      <c r="I32" s="5" t="s">
        <v>145</v>
      </c>
      <c r="J32" s="5" t="s">
        <v>145</v>
      </c>
      <c r="K32" s="5" t="s">
        <v>145</v>
      </c>
      <c r="L32" s="5" t="s">
        <v>145</v>
      </c>
      <c r="M32" s="5" t="s">
        <v>145</v>
      </c>
      <c r="N32" s="5" t="s">
        <v>325</v>
      </c>
      <c r="O32" s="5" t="str" cm="1">
        <f t="array" ref="O32">_xlfn.XLOOKUP(Tabella2[[#This Row],[Corretta]],Tabella2[[#This Row],[opzione 1]:[opzione 10]],Tabella2[[#This Row],[opzione 1]:[opzione 10]])</f>
        <v>Il throughput time rappresenta il tempo di attraversamento del flusso principale del processo di un nuovo input considerando di lavorare a fifo tutti gli input già presenti nel processo.</v>
      </c>
    </row>
    <row r="33" spans="1:15" ht="43.2" x14ac:dyDescent="0.3">
      <c r="A33" s="5" t="s">
        <v>568</v>
      </c>
      <c r="B33" s="5" t="s">
        <v>321</v>
      </c>
      <c r="C33" s="5" t="s">
        <v>673</v>
      </c>
      <c r="D33" s="5" t="s">
        <v>99</v>
      </c>
      <c r="E33" s="5" t="s">
        <v>100</v>
      </c>
      <c r="F33" s="5" t="s">
        <v>101</v>
      </c>
      <c r="G33" s="5" t="s">
        <v>102</v>
      </c>
      <c r="H33" s="5" t="s">
        <v>145</v>
      </c>
      <c r="I33" s="5" t="s">
        <v>145</v>
      </c>
      <c r="J33" s="5" t="s">
        <v>145</v>
      </c>
      <c r="K33" s="5" t="s">
        <v>145</v>
      </c>
      <c r="L33" s="5" t="s">
        <v>145</v>
      </c>
      <c r="M33" s="5" t="s">
        <v>145</v>
      </c>
      <c r="N33" s="5" t="s">
        <v>99</v>
      </c>
      <c r="O33" s="5" t="str" cm="1">
        <f t="array" ref="O33">_xlfn.XLOOKUP(Tabella2[[#This Row],[Corretta]],Tabella2[[#This Row],[opzione 1]:[opzione 10]],Tabella2[[#This Row],[opzione 1]:[opzione 10]])</f>
        <v>1,95gg</v>
      </c>
    </row>
    <row r="34" spans="1:15" x14ac:dyDescent="0.3">
      <c r="A34" s="5" t="s">
        <v>568</v>
      </c>
      <c r="B34" s="5" t="s">
        <v>321</v>
      </c>
      <c r="C34" s="5" t="s">
        <v>103</v>
      </c>
      <c r="D34" s="5" t="s">
        <v>327</v>
      </c>
      <c r="E34" s="5" t="s">
        <v>328</v>
      </c>
      <c r="F34" s="5" t="s">
        <v>329</v>
      </c>
      <c r="G34" s="5" t="s">
        <v>330</v>
      </c>
      <c r="H34" s="5" t="s">
        <v>145</v>
      </c>
      <c r="I34" s="5" t="s">
        <v>145</v>
      </c>
      <c r="J34" s="5" t="s">
        <v>145</v>
      </c>
      <c r="K34" s="5" t="s">
        <v>145</v>
      </c>
      <c r="L34" s="5" t="s">
        <v>145</v>
      </c>
      <c r="M34" s="5" t="s">
        <v>145</v>
      </c>
      <c r="N34" s="5" t="s">
        <v>330</v>
      </c>
      <c r="O34" s="5" t="str" cm="1">
        <f t="array" ref="O34">_xlfn.XLOOKUP(Tabella2[[#This Row],[Corretta]],Tabella2[[#This Row],[opzione 1]:[opzione 10]],Tabella2[[#This Row],[opzione 1]:[opzione 10]])</f>
        <v>Throughput time/processing time</v>
      </c>
    </row>
    <row r="35" spans="1:15" ht="187.2" x14ac:dyDescent="0.3">
      <c r="A35" s="5" t="s">
        <v>568</v>
      </c>
      <c r="B35" s="5" t="s">
        <v>321</v>
      </c>
      <c r="C35" s="5" t="s">
        <v>104</v>
      </c>
      <c r="D35" s="5" t="s">
        <v>105</v>
      </c>
      <c r="E35" s="5" t="s">
        <v>106</v>
      </c>
      <c r="F35" s="5" t="s">
        <v>107</v>
      </c>
      <c r="G35" s="5" t="s">
        <v>108</v>
      </c>
      <c r="H35" s="5" t="s">
        <v>145</v>
      </c>
      <c r="I35" s="5" t="s">
        <v>145</v>
      </c>
      <c r="J35" s="5" t="s">
        <v>145</v>
      </c>
      <c r="K35" s="5" t="s">
        <v>145</v>
      </c>
      <c r="L35" s="5" t="s">
        <v>145</v>
      </c>
      <c r="M35" s="5" t="s">
        <v>145</v>
      </c>
      <c r="N35" s="5" t="s">
        <v>106</v>
      </c>
      <c r="O35" s="5" t="str" cm="1">
        <f t="array" ref="O35">_xlfn.XLOOKUP(Tabella2[[#This Row],[Corretta]],Tabella2[[#This Row],[opzione 1]:[opzione 10]],Tabella2[[#This Row],[opzione 1]:[opzione 10]])</f>
        <v>Se l'indice di flusso è pari a 1 significa che il tempo di trasformazione è pari al tempo di attraversamento</v>
      </c>
    </row>
    <row r="36" spans="1:15" ht="216" x14ac:dyDescent="0.3">
      <c r="A36" s="5" t="s">
        <v>568</v>
      </c>
      <c r="B36" s="5" t="s">
        <v>215</v>
      </c>
      <c r="C36" s="5" t="s">
        <v>645</v>
      </c>
      <c r="D36" s="5" t="s">
        <v>109</v>
      </c>
      <c r="E36" s="5" t="s">
        <v>110</v>
      </c>
      <c r="F36" s="5" t="s">
        <v>111</v>
      </c>
      <c r="G36" s="5" t="s">
        <v>112</v>
      </c>
      <c r="H36" s="5" t="s">
        <v>145</v>
      </c>
      <c r="I36" s="5" t="s">
        <v>145</v>
      </c>
      <c r="J36" s="5" t="s">
        <v>145</v>
      </c>
      <c r="K36" s="5" t="s">
        <v>145</v>
      </c>
      <c r="L36" s="5" t="s">
        <v>145</v>
      </c>
      <c r="M36" s="5" t="s">
        <v>145</v>
      </c>
      <c r="N36" s="5" t="s">
        <v>112</v>
      </c>
      <c r="O36" s="5" t="str" cm="1">
        <f t="array" ref="O36">_xlfn.XLOOKUP(Tabella2[[#This Row],[Corretta]],Tabella2[[#This Row],[opzione 1]:[opzione 10]],Tabella2[[#This Row],[opzione 1]:[opzione 10]])</f>
        <v>Strumento utile a tracciare la catena di causalità partendo dall’effetto per arrivare alla causa radice di un problema</v>
      </c>
    </row>
    <row r="37" spans="1:15" x14ac:dyDescent="0.3">
      <c r="A37" s="5" t="s">
        <v>568</v>
      </c>
      <c r="B37" s="5" t="s">
        <v>113</v>
      </c>
      <c r="C37" s="5" t="s">
        <v>114</v>
      </c>
      <c r="D37" s="5" t="s">
        <v>331</v>
      </c>
      <c r="E37" s="5" t="s">
        <v>53</v>
      </c>
      <c r="F37" s="5" t="s">
        <v>35</v>
      </c>
      <c r="G37" s="5" t="s">
        <v>64</v>
      </c>
      <c r="H37" s="5" t="s">
        <v>145</v>
      </c>
      <c r="I37" s="5" t="s">
        <v>145</v>
      </c>
      <c r="J37" s="5" t="s">
        <v>145</v>
      </c>
      <c r="K37" s="5" t="s">
        <v>145</v>
      </c>
      <c r="L37" s="5" t="s">
        <v>145</v>
      </c>
      <c r="M37" s="5" t="s">
        <v>145</v>
      </c>
      <c r="N37" s="5" t="s">
        <v>331</v>
      </c>
      <c r="O37" s="5" t="str" cm="1">
        <f t="array" ref="O37">_xlfn.XLOOKUP(Tabella2[[#This Row],[Corretta]],Tabella2[[#This Row],[opzione 1]:[opzione 10]],Tabella2[[#This Row],[opzione 1]:[opzione 10]])</f>
        <v>Tre flussi</v>
      </c>
    </row>
    <row r="38" spans="1:15" x14ac:dyDescent="0.3">
      <c r="A38" s="5" t="s">
        <v>568</v>
      </c>
      <c r="B38" s="5" t="s">
        <v>113</v>
      </c>
      <c r="C38" s="5" t="s">
        <v>779</v>
      </c>
      <c r="D38" s="5" t="s">
        <v>115</v>
      </c>
      <c r="E38" s="5" t="s">
        <v>116</v>
      </c>
      <c r="F38" s="5" t="s">
        <v>117</v>
      </c>
      <c r="G38" s="5" t="s">
        <v>118</v>
      </c>
      <c r="H38" s="5" t="s">
        <v>145</v>
      </c>
      <c r="I38" s="5" t="s">
        <v>145</v>
      </c>
      <c r="J38" s="5" t="s">
        <v>145</v>
      </c>
      <c r="K38" s="5" t="s">
        <v>145</v>
      </c>
      <c r="L38" s="5" t="s">
        <v>145</v>
      </c>
      <c r="M38" s="5" t="s">
        <v>145</v>
      </c>
      <c r="N38" s="5" t="s">
        <v>115</v>
      </c>
      <c r="O38" s="5" t="str" cm="1">
        <f t="array" ref="O38">_xlfn.XLOOKUP(Tabella2[[#This Row],[Corretta]],Tabella2[[#This Row],[opzione 1]:[opzione 10]],Tabella2[[#This Row],[opzione 1]:[opzione 10]])</f>
        <v>Selezionare, ordinare, pulire, standardizzare, sostenere</v>
      </c>
    </row>
    <row r="39" spans="1:15" ht="72" x14ac:dyDescent="0.3">
      <c r="A39" s="5" t="s">
        <v>568</v>
      </c>
      <c r="B39" s="5" t="s">
        <v>119</v>
      </c>
      <c r="C39" s="5" t="s">
        <v>731</v>
      </c>
      <c r="D39" s="5" t="s">
        <v>332</v>
      </c>
      <c r="E39" s="5" t="s">
        <v>333</v>
      </c>
      <c r="F39" s="5" t="s">
        <v>334</v>
      </c>
      <c r="G39" s="5" t="s">
        <v>335</v>
      </c>
      <c r="H39" s="5" t="s">
        <v>145</v>
      </c>
      <c r="I39" s="5" t="s">
        <v>145</v>
      </c>
      <c r="J39" s="5" t="s">
        <v>145</v>
      </c>
      <c r="K39" s="5" t="s">
        <v>145</v>
      </c>
      <c r="L39" s="5" t="s">
        <v>145</v>
      </c>
      <c r="M39" s="5" t="s">
        <v>145</v>
      </c>
      <c r="N39" s="5" t="s">
        <v>333</v>
      </c>
      <c r="O39" s="5" t="str" cm="1">
        <f t="array" ref="O39">_xlfn.XLOOKUP(Tabella2[[#This Row],[Corretta]],Tabella2[[#This Row],[opzione 1]:[opzione 10]],Tabella2[[#This Row],[opzione 1]:[opzione 10]])</f>
        <v>Poter svolgere set-up più frequentemente</v>
      </c>
    </row>
    <row r="40" spans="1:15" ht="273.60000000000002" x14ac:dyDescent="0.3">
      <c r="A40" s="5" t="s">
        <v>568</v>
      </c>
      <c r="B40" s="5" t="s">
        <v>119</v>
      </c>
      <c r="C40" s="5" t="s">
        <v>120</v>
      </c>
      <c r="D40" s="5" t="s">
        <v>728</v>
      </c>
      <c r="E40" s="5" t="s">
        <v>726</v>
      </c>
      <c r="F40" s="5" t="s">
        <v>729</v>
      </c>
      <c r="G40" s="5" t="s">
        <v>727</v>
      </c>
      <c r="H40" s="5" t="s">
        <v>145</v>
      </c>
      <c r="I40" s="5" t="s">
        <v>145</v>
      </c>
      <c r="J40" s="5" t="s">
        <v>145</v>
      </c>
      <c r="K40" s="5" t="s">
        <v>145</v>
      </c>
      <c r="L40" s="5" t="s">
        <v>145</v>
      </c>
      <c r="M40" s="5" t="s">
        <v>145</v>
      </c>
      <c r="N40" s="5" t="s">
        <v>728</v>
      </c>
      <c r="O40" s="5" t="str" cm="1">
        <f t="array" ref="O40">_xlfn.XLOOKUP(Tabella2[[#This Row],[Corretta]],Tabella2[[#This Row],[opzione 1]:[opzione 10]],Tabella2[[#This Row],[opzione 1]:[opzione 10]])</f>
        <v>IED sono attività che devono essere effettuate a macchina ferma OED sono attività che possono essere svolte a macchina in movimento</v>
      </c>
    </row>
    <row r="41" spans="1:15" ht="28.8" x14ac:dyDescent="0.3">
      <c r="A41" s="5" t="s">
        <v>568</v>
      </c>
      <c r="B41" s="5" t="s">
        <v>119</v>
      </c>
      <c r="C41" s="5" t="s">
        <v>732</v>
      </c>
      <c r="D41" s="5" t="s">
        <v>41</v>
      </c>
      <c r="E41" s="5" t="s">
        <v>121</v>
      </c>
      <c r="F41" s="5" t="s">
        <v>122</v>
      </c>
      <c r="G41" s="5" t="s">
        <v>123</v>
      </c>
      <c r="H41" s="5" t="s">
        <v>145</v>
      </c>
      <c r="I41" s="5" t="s">
        <v>145</v>
      </c>
      <c r="J41" s="5" t="s">
        <v>145</v>
      </c>
      <c r="K41" s="5" t="s">
        <v>145</v>
      </c>
      <c r="L41" s="5" t="s">
        <v>145</v>
      </c>
      <c r="M41" s="5" t="s">
        <v>145</v>
      </c>
      <c r="N41" s="5" t="s">
        <v>122</v>
      </c>
      <c r="O41" s="5" t="str" cm="1">
        <f t="array" ref="O41">_xlfn.XLOOKUP(Tabella2[[#This Row],[Corretta]],Tabella2[[#This Row],[opzione 1]:[opzione 10]],Tabella2[[#This Row],[opzione 1]:[opzione 10]])</f>
        <v>Preparazione</v>
      </c>
    </row>
    <row r="42" spans="1:15" x14ac:dyDescent="0.3">
      <c r="A42" s="5" t="s">
        <v>568</v>
      </c>
      <c r="B42" s="5" t="s">
        <v>35</v>
      </c>
      <c r="C42" s="5" t="s">
        <v>835</v>
      </c>
      <c r="D42" s="5" t="s">
        <v>337</v>
      </c>
      <c r="E42" s="5" t="s">
        <v>338</v>
      </c>
      <c r="F42" s="5" t="s">
        <v>339</v>
      </c>
      <c r="G42" s="5" t="s">
        <v>145</v>
      </c>
      <c r="H42" s="5" t="s">
        <v>145</v>
      </c>
      <c r="I42" s="5" t="s">
        <v>145</v>
      </c>
      <c r="J42" s="5" t="s">
        <v>145</v>
      </c>
      <c r="K42" s="5" t="s">
        <v>145</v>
      </c>
      <c r="L42" s="5" t="s">
        <v>145</v>
      </c>
      <c r="M42" s="5" t="s">
        <v>145</v>
      </c>
      <c r="N42" s="5" t="s">
        <v>338</v>
      </c>
      <c r="O42" s="5" t="str" cm="1">
        <f t="array" ref="O42">_xlfn.XLOOKUP(Tabella2[[#This Row],[Corretta]],Tabella2[[#This Row],[opzione 1]:[opzione 10]],Tabella2[[#This Row],[opzione 1]:[opzione 10]])</f>
        <v>Costo</v>
      </c>
    </row>
    <row r="43" spans="1:15" ht="316.8" x14ac:dyDescent="0.3">
      <c r="A43" s="5" t="s">
        <v>568</v>
      </c>
      <c r="B43" s="5" t="s">
        <v>35</v>
      </c>
      <c r="C43" s="5" t="s">
        <v>340</v>
      </c>
      <c r="D43" s="5" t="s">
        <v>767</v>
      </c>
      <c r="E43" s="5" t="s">
        <v>124</v>
      </c>
      <c r="F43" s="5" t="s">
        <v>125</v>
      </c>
      <c r="G43" s="5" t="s">
        <v>126</v>
      </c>
      <c r="H43" s="5" t="s">
        <v>145</v>
      </c>
      <c r="I43" s="5" t="s">
        <v>145</v>
      </c>
      <c r="J43" s="5" t="s">
        <v>145</v>
      </c>
      <c r="K43" s="5" t="s">
        <v>145</v>
      </c>
      <c r="L43" s="5" t="s">
        <v>145</v>
      </c>
      <c r="M43" s="5" t="s">
        <v>145</v>
      </c>
      <c r="N43" s="5" t="s">
        <v>124</v>
      </c>
      <c r="O43" s="5" t="str" cm="1">
        <f t="array" ref="O43">_xlfn.XLOOKUP(Tabella2[[#This Row],[Corretta]],Tabella2[[#This Row],[opzione 1]:[opzione 10]],Tabella2[[#This Row],[opzione 1]:[opzione 10]])</f>
        <v xml:space="preserve">Perché la presenza di attese, stock intermedi, rilavorazioni e trasferimenti genera sprechi che allungano il lead time rispetto al tempo di trasformazione reale
</v>
      </c>
    </row>
    <row r="44" spans="1:15" ht="43.2" x14ac:dyDescent="0.3">
      <c r="A44" s="5" t="s">
        <v>568</v>
      </c>
      <c r="B44" s="5" t="s">
        <v>35</v>
      </c>
      <c r="C44" s="5" t="s">
        <v>773</v>
      </c>
      <c r="D44" s="5" t="s">
        <v>833</v>
      </c>
      <c r="E44" s="5" t="s">
        <v>263</v>
      </c>
      <c r="F44" s="5" t="s">
        <v>265</v>
      </c>
      <c r="G44" s="5" t="s">
        <v>266</v>
      </c>
      <c r="H44" s="5" t="s">
        <v>145</v>
      </c>
      <c r="I44" s="5" t="s">
        <v>145</v>
      </c>
      <c r="J44" s="5" t="s">
        <v>145</v>
      </c>
      <c r="K44" s="5" t="s">
        <v>145</v>
      </c>
      <c r="L44" s="5" t="s">
        <v>145</v>
      </c>
      <c r="M44" s="5" t="s">
        <v>145</v>
      </c>
      <c r="N44" s="5" t="s">
        <v>263</v>
      </c>
      <c r="O44" s="5" t="str" cm="1">
        <f t="array" ref="O44">_xlfn.XLOOKUP(Tabella2[[#This Row],[Corretta]],Tabella2[[#This Row],[opzione 1]:[opzione 10]],Tabella2[[#This Row],[opzione 1]:[opzione 10]])</f>
        <v>4,08€/pz</v>
      </c>
    </row>
    <row r="45" spans="1:15" ht="100.8" x14ac:dyDescent="0.3">
      <c r="A45" s="5" t="s">
        <v>568</v>
      </c>
      <c r="B45" s="5" t="s">
        <v>44</v>
      </c>
      <c r="C45" s="5" t="s">
        <v>734</v>
      </c>
      <c r="D45" s="5" t="s">
        <v>342</v>
      </c>
      <c r="E45" s="5" t="s">
        <v>127</v>
      </c>
      <c r="F45" s="5" t="s">
        <v>343</v>
      </c>
      <c r="G45" s="5" t="s">
        <v>128</v>
      </c>
      <c r="H45" s="5" t="s">
        <v>145</v>
      </c>
      <c r="I45" s="5" t="s">
        <v>145</v>
      </c>
      <c r="J45" s="5" t="s">
        <v>145</v>
      </c>
      <c r="K45" s="5" t="s">
        <v>145</v>
      </c>
      <c r="L45" s="5" t="s">
        <v>145</v>
      </c>
      <c r="M45" s="5" t="s">
        <v>145</v>
      </c>
      <c r="N45" s="5" t="s">
        <v>128</v>
      </c>
      <c r="O45" s="5" t="str" cm="1">
        <f t="array" ref="O45">_xlfn.XLOOKUP(Tabella2[[#This Row],[Corretta]],Tabella2[[#This Row],[opzione 1]:[opzione 10]],Tabella2[[#This Row],[opzione 1]:[opzione 10]])</f>
        <v>Perché dividere il processo in blocchi separati genera sprechi</v>
      </c>
    </row>
    <row r="46" spans="1:15" ht="144" x14ac:dyDescent="0.3">
      <c r="A46" s="5" t="s">
        <v>568</v>
      </c>
      <c r="B46" s="5" t="s">
        <v>44</v>
      </c>
      <c r="C46" s="5" t="s">
        <v>774</v>
      </c>
      <c r="D46" s="5" t="s">
        <v>129</v>
      </c>
      <c r="E46" s="5" t="s">
        <v>130</v>
      </c>
      <c r="F46" s="5" t="s">
        <v>131</v>
      </c>
      <c r="G46" s="5" t="s">
        <v>132</v>
      </c>
      <c r="H46" s="5" t="s">
        <v>145</v>
      </c>
      <c r="I46" s="5" t="s">
        <v>145</v>
      </c>
      <c r="J46" s="5" t="s">
        <v>145</v>
      </c>
      <c r="K46" s="5" t="s">
        <v>145</v>
      </c>
      <c r="L46" s="5" t="s">
        <v>145</v>
      </c>
      <c r="M46" s="5" t="s">
        <v>145</v>
      </c>
      <c r="N46" s="5" t="s">
        <v>129</v>
      </c>
      <c r="O46" s="5" t="str" cm="1">
        <f t="array" ref="O46">_xlfn.XLOOKUP(Tabella2[[#This Row],[Corretta]],Tabella2[[#This Row],[opzione 1]:[opzione 10]],Tabella2[[#This Row],[opzione 1]:[opzione 10]])</f>
        <v>Perché permette di avere una visione a 360 gradi su quello che si sta analizzando</v>
      </c>
    </row>
    <row r="47" spans="1:15" ht="72" x14ac:dyDescent="0.3">
      <c r="A47" s="5" t="s">
        <v>568</v>
      </c>
      <c r="B47" s="5" t="s">
        <v>44</v>
      </c>
      <c r="C47" s="5" t="s">
        <v>345</v>
      </c>
      <c r="D47" s="5" t="s">
        <v>437</v>
      </c>
      <c r="E47" s="5" t="s">
        <v>438</v>
      </c>
      <c r="F47" s="5" t="s">
        <v>439</v>
      </c>
      <c r="G47" s="5" t="s">
        <v>440</v>
      </c>
      <c r="H47" s="5" t="s">
        <v>145</v>
      </c>
      <c r="I47" s="5" t="s">
        <v>145</v>
      </c>
      <c r="J47" s="5" t="s">
        <v>145</v>
      </c>
      <c r="K47" s="5" t="s">
        <v>145</v>
      </c>
      <c r="L47" s="5" t="s">
        <v>145</v>
      </c>
      <c r="M47" s="5" t="s">
        <v>145</v>
      </c>
      <c r="N47" s="5" t="s">
        <v>437</v>
      </c>
      <c r="O47" s="5" t="str" cm="1">
        <f t="array" ref="O47">_xlfn.XLOOKUP(Tabella2[[#This Row],[Corretta]],Tabella2[[#This Row],[opzione 1]:[opzione 10]],Tabella2[[#This Row],[opzione 1]:[opzione 10]])</f>
        <v>Dopo aver migliorato il flusso operativo</v>
      </c>
    </row>
    <row r="48" spans="1:15" ht="28.8" x14ac:dyDescent="0.3">
      <c r="A48" s="5" t="s">
        <v>568</v>
      </c>
      <c r="B48" s="5" t="s">
        <v>44</v>
      </c>
      <c r="C48" s="5" t="s">
        <v>674</v>
      </c>
      <c r="D48" s="5" t="s">
        <v>441</v>
      </c>
      <c r="E48" s="5" t="s">
        <v>442</v>
      </c>
      <c r="F48" s="5" t="s">
        <v>443</v>
      </c>
      <c r="G48" s="5" t="s">
        <v>444</v>
      </c>
      <c r="H48" s="5" t="s">
        <v>145</v>
      </c>
      <c r="I48" s="5" t="s">
        <v>145</v>
      </c>
      <c r="J48" s="5" t="s">
        <v>145</v>
      </c>
      <c r="K48" s="5" t="s">
        <v>145</v>
      </c>
      <c r="L48" s="5" t="s">
        <v>145</v>
      </c>
      <c r="M48" s="5" t="s">
        <v>145</v>
      </c>
      <c r="N48" s="5" t="s">
        <v>443</v>
      </c>
      <c r="O48" s="5" t="str" cm="1">
        <f t="array" ref="O48">_xlfn.XLOOKUP(Tabella2[[#This Row],[Corretta]],Tabella2[[#This Row],[opzione 1]:[opzione 10]],Tabella2[[#This Row],[opzione 1]:[opzione 10]])</f>
        <v>Workflow</v>
      </c>
    </row>
    <row r="49" spans="1:15" ht="28.8" x14ac:dyDescent="0.3">
      <c r="A49" s="5" t="s">
        <v>568</v>
      </c>
      <c r="B49" s="5" t="s">
        <v>44</v>
      </c>
      <c r="C49" s="5" t="s">
        <v>675</v>
      </c>
      <c r="D49" s="5" t="s">
        <v>441</v>
      </c>
      <c r="E49" s="5" t="s">
        <v>442</v>
      </c>
      <c r="F49" s="5" t="s">
        <v>443</v>
      </c>
      <c r="G49" s="5" t="s">
        <v>445</v>
      </c>
      <c r="H49" s="5" t="s">
        <v>145</v>
      </c>
      <c r="I49" s="5" t="s">
        <v>145</v>
      </c>
      <c r="J49" s="5" t="s">
        <v>145</v>
      </c>
      <c r="K49" s="5" t="s">
        <v>145</v>
      </c>
      <c r="L49" s="5" t="s">
        <v>145</v>
      </c>
      <c r="M49" s="5" t="s">
        <v>145</v>
      </c>
      <c r="N49" s="5" t="s">
        <v>442</v>
      </c>
      <c r="O49" s="5" t="str" cm="1">
        <f t="array" ref="O49">_xlfn.XLOOKUP(Tabella2[[#This Row],[Corretta]],Tabella2[[#This Row],[opzione 1]:[opzione 10]],Tabella2[[#This Row],[opzione 1]:[opzione 10]])</f>
        <v>Flusso operativo</v>
      </c>
    </row>
    <row r="50" spans="1:15" ht="43.2" x14ac:dyDescent="0.3">
      <c r="A50" s="5" t="s">
        <v>568</v>
      </c>
      <c r="B50" s="5" t="s">
        <v>44</v>
      </c>
      <c r="C50" s="5" t="s">
        <v>676</v>
      </c>
      <c r="D50" s="5" t="s">
        <v>441</v>
      </c>
      <c r="E50" s="5" t="s">
        <v>442</v>
      </c>
      <c r="F50" s="5" t="s">
        <v>443</v>
      </c>
      <c r="G50" s="5" t="s">
        <v>445</v>
      </c>
      <c r="H50" s="5" t="s">
        <v>145</v>
      </c>
      <c r="I50" s="5" t="s">
        <v>145</v>
      </c>
      <c r="J50" s="5" t="s">
        <v>145</v>
      </c>
      <c r="K50" s="5" t="s">
        <v>145</v>
      </c>
      <c r="L50" s="5" t="s">
        <v>145</v>
      </c>
      <c r="M50" s="5" t="s">
        <v>145</v>
      </c>
      <c r="N50" s="5" t="s">
        <v>441</v>
      </c>
      <c r="O50" s="5" t="str" cm="1">
        <f t="array" ref="O50">_xlfn.XLOOKUP(Tabella2[[#This Row],[Corretta]],Tabella2[[#This Row],[opzione 1]:[opzione 10]],Tabella2[[#This Row],[opzione 1]:[opzione 10]])</f>
        <v>Flusso informativo</v>
      </c>
    </row>
    <row r="51" spans="1:15" ht="43.2" x14ac:dyDescent="0.3">
      <c r="A51" s="5" t="s">
        <v>568</v>
      </c>
      <c r="B51" s="5" t="s">
        <v>44</v>
      </c>
      <c r="C51" s="5" t="s">
        <v>677</v>
      </c>
      <c r="D51" s="5" t="s">
        <v>441</v>
      </c>
      <c r="E51" s="5" t="s">
        <v>442</v>
      </c>
      <c r="F51" s="5" t="s">
        <v>443</v>
      </c>
      <c r="G51" s="5" t="s">
        <v>445</v>
      </c>
      <c r="H51" s="5" t="s">
        <v>145</v>
      </c>
      <c r="I51" s="5" t="s">
        <v>145</v>
      </c>
      <c r="J51" s="5" t="s">
        <v>145</v>
      </c>
      <c r="K51" s="5" t="s">
        <v>145</v>
      </c>
      <c r="L51" s="5" t="s">
        <v>145</v>
      </c>
      <c r="M51" s="5" t="s">
        <v>145</v>
      </c>
      <c r="N51" s="5" t="s">
        <v>441</v>
      </c>
      <c r="O51" s="5" t="str" cm="1">
        <f t="array" ref="O51">_xlfn.XLOOKUP(Tabella2[[#This Row],[Corretta]],Tabella2[[#This Row],[opzione 1]:[opzione 10]],Tabella2[[#This Row],[opzione 1]:[opzione 10]])</f>
        <v>Flusso informativo</v>
      </c>
    </row>
    <row r="52" spans="1:15" ht="28.8" x14ac:dyDescent="0.3">
      <c r="A52" s="5" t="s">
        <v>568</v>
      </c>
      <c r="B52" s="5" t="s">
        <v>44</v>
      </c>
      <c r="C52" s="5" t="s">
        <v>678</v>
      </c>
      <c r="D52" s="5" t="s">
        <v>441</v>
      </c>
      <c r="E52" s="5" t="s">
        <v>442</v>
      </c>
      <c r="F52" s="5" t="s">
        <v>443</v>
      </c>
      <c r="G52" s="5" t="s">
        <v>445</v>
      </c>
      <c r="H52" s="5" t="s">
        <v>145</v>
      </c>
      <c r="I52" s="5" t="s">
        <v>145</v>
      </c>
      <c r="J52" s="5" t="s">
        <v>145</v>
      </c>
      <c r="K52" s="5" t="s">
        <v>145</v>
      </c>
      <c r="L52" s="5" t="s">
        <v>145</v>
      </c>
      <c r="M52" s="5" t="s">
        <v>145</v>
      </c>
      <c r="N52" s="5" t="s">
        <v>442</v>
      </c>
      <c r="O52" s="5" t="str" cm="1">
        <f t="array" ref="O52">_xlfn.XLOOKUP(Tabella2[[#This Row],[Corretta]],Tabella2[[#This Row],[opzione 1]:[opzione 10]],Tabella2[[#This Row],[opzione 1]:[opzione 10]])</f>
        <v>Flusso operativo</v>
      </c>
    </row>
    <row r="53" spans="1:15" ht="100.8" x14ac:dyDescent="0.3">
      <c r="A53" s="5" t="s">
        <v>568</v>
      </c>
      <c r="B53" s="5" t="s">
        <v>44</v>
      </c>
      <c r="C53" s="5" t="s">
        <v>133</v>
      </c>
      <c r="D53" s="5" t="s">
        <v>134</v>
      </c>
      <c r="E53" s="5" t="s">
        <v>135</v>
      </c>
      <c r="F53" s="5" t="s">
        <v>136</v>
      </c>
      <c r="G53" s="5" t="s">
        <v>137</v>
      </c>
      <c r="H53" s="5" t="s">
        <v>145</v>
      </c>
      <c r="I53" s="5" t="s">
        <v>145</v>
      </c>
      <c r="J53" s="5" t="s">
        <v>145</v>
      </c>
      <c r="K53" s="5" t="s">
        <v>145</v>
      </c>
      <c r="L53" s="5" t="s">
        <v>145</v>
      </c>
      <c r="M53" s="5" t="s">
        <v>145</v>
      </c>
      <c r="N53" s="5" t="s">
        <v>136</v>
      </c>
      <c r="O53" s="5" t="str" cm="1">
        <f t="array" ref="O53">_xlfn.XLOOKUP(Tabella2[[#This Row],[Corretta]],Tabella2[[#This Row],[opzione 1]:[opzione 10]],Tabella2[[#This Row],[opzione 1]:[opzione 10]])</f>
        <v>Formare un operatore per usare due macchine diverse</v>
      </c>
    </row>
    <row r="54" spans="1:15" ht="144" x14ac:dyDescent="0.3">
      <c r="A54" s="5" t="s">
        <v>568</v>
      </c>
      <c r="B54" s="5" t="s">
        <v>44</v>
      </c>
      <c r="C54" s="5" t="s">
        <v>735</v>
      </c>
      <c r="D54" s="5" t="s">
        <v>346</v>
      </c>
      <c r="E54" s="5" t="s">
        <v>138</v>
      </c>
      <c r="F54" s="5" t="s">
        <v>139</v>
      </c>
      <c r="G54" s="5" t="s">
        <v>768</v>
      </c>
      <c r="H54" s="5" t="s">
        <v>145</v>
      </c>
      <c r="I54" s="5" t="s">
        <v>145</v>
      </c>
      <c r="J54" s="5" t="s">
        <v>145</v>
      </c>
      <c r="K54" s="5" t="s">
        <v>145</v>
      </c>
      <c r="L54" s="5" t="s">
        <v>145</v>
      </c>
      <c r="M54" s="5" t="s">
        <v>145</v>
      </c>
      <c r="N54" s="5" t="s">
        <v>138</v>
      </c>
      <c r="O54" s="5" t="str" cm="1">
        <f t="array" ref="O54">_xlfn.XLOOKUP(Tabella2[[#This Row],[Corretta]],Tabella2[[#This Row],[opzione 1]:[opzione 10]],Tabella2[[#This Row],[opzione 1]:[opzione 10]])</f>
        <v>Gli ordini vengono evasi nei tempi medi ma con forte variabilità nei lead time cliente</v>
      </c>
    </row>
    <row r="55" spans="1:15" ht="100.8" x14ac:dyDescent="0.3">
      <c r="A55" s="5" t="s">
        <v>568</v>
      </c>
      <c r="B55" s="5" t="s">
        <v>44</v>
      </c>
      <c r="C55" s="5" t="s">
        <v>140</v>
      </c>
      <c r="D55" s="5" t="s">
        <v>141</v>
      </c>
      <c r="E55" s="5" t="s">
        <v>262</v>
      </c>
      <c r="F55" s="5" t="s">
        <v>260</v>
      </c>
      <c r="G55" s="5" t="s">
        <v>142</v>
      </c>
      <c r="H55" s="5" t="s">
        <v>145</v>
      </c>
      <c r="I55" s="5" t="s">
        <v>145</v>
      </c>
      <c r="J55" s="5" t="s">
        <v>145</v>
      </c>
      <c r="K55" s="5" t="s">
        <v>145</v>
      </c>
      <c r="L55" s="5" t="s">
        <v>145</v>
      </c>
      <c r="M55" s="5" t="s">
        <v>145</v>
      </c>
      <c r="N55" s="5" t="s">
        <v>260</v>
      </c>
      <c r="O55" s="5" t="str" cm="1">
        <f t="array" ref="O55">_xlfn.XLOOKUP(Tabella2[[#This Row],[Corretta]],Tabella2[[#This Row],[opzione 1]:[opzione 10]],Tabella2[[#This Row],[opzione 1]:[opzione 10]])</f>
        <v>Migliorare il flusso informativo spesso risolve i problemi operativi</v>
      </c>
    </row>
    <row r="56" spans="1:15" ht="100.8" x14ac:dyDescent="0.3">
      <c r="A56" s="5" t="s">
        <v>568</v>
      </c>
      <c r="B56" s="5" t="s">
        <v>44</v>
      </c>
      <c r="C56" s="5" t="s">
        <v>679</v>
      </c>
      <c r="D56" s="5" t="s">
        <v>446</v>
      </c>
      <c r="E56" s="5" t="s">
        <v>447</v>
      </c>
      <c r="F56" s="5" t="s">
        <v>259</v>
      </c>
      <c r="G56" s="5" t="s">
        <v>448</v>
      </c>
      <c r="H56" s="5" t="s">
        <v>145</v>
      </c>
      <c r="I56" s="5" t="s">
        <v>145</v>
      </c>
      <c r="J56" s="5" t="s">
        <v>145</v>
      </c>
      <c r="K56" s="5" t="s">
        <v>145</v>
      </c>
      <c r="L56" s="5" t="s">
        <v>145</v>
      </c>
      <c r="M56" s="5" t="s">
        <v>145</v>
      </c>
      <c r="N56" s="5" t="s">
        <v>259</v>
      </c>
      <c r="O56" s="5" t="str" cm="1">
        <f t="array" ref="O56">_xlfn.XLOOKUP(Tabella2[[#This Row],[Corretta]],Tabella2[[#This Row],[opzione 1]:[opzione 10]],Tabella2[[#This Row],[opzione 1]:[opzione 10]])</f>
        <v>Il flusso informativo è incoerente e non standardizzato</v>
      </c>
    </row>
    <row r="57" spans="1:15" ht="86.4" x14ac:dyDescent="0.3">
      <c r="A57" s="5" t="s">
        <v>568</v>
      </c>
      <c r="B57" s="5" t="s">
        <v>53</v>
      </c>
      <c r="C57" s="5" t="s">
        <v>610</v>
      </c>
      <c r="D57" s="5" t="s">
        <v>607</v>
      </c>
      <c r="E57" s="5" t="s">
        <v>608</v>
      </c>
      <c r="F57" s="5" t="s">
        <v>609</v>
      </c>
      <c r="G57" s="5" t="s">
        <v>449</v>
      </c>
      <c r="H57" s="5" t="s">
        <v>145</v>
      </c>
      <c r="I57" s="5" t="s">
        <v>145</v>
      </c>
      <c r="J57" s="5" t="s">
        <v>145</v>
      </c>
      <c r="K57" s="5" t="s">
        <v>145</v>
      </c>
      <c r="L57" s="5" t="s">
        <v>145</v>
      </c>
      <c r="M57" s="5" t="s">
        <v>145</v>
      </c>
      <c r="N57" s="5" t="s">
        <v>609</v>
      </c>
      <c r="O57" s="5" t="str" cm="1">
        <f t="array" ref="O57">_xlfn.XLOOKUP(Tabella2[[#This Row],[Corretta]],Tabella2[[#This Row],[opzione 1]:[opzione 10]],Tabella2[[#This Row],[opzione 1]:[opzione 10]])</f>
        <v>È un’attività potenzialmente eliminabile</v>
      </c>
    </row>
    <row r="58" spans="1:15" ht="28.8" x14ac:dyDescent="0.3">
      <c r="A58" s="5" t="s">
        <v>568</v>
      </c>
      <c r="B58" s="5" t="s">
        <v>53</v>
      </c>
      <c r="C58" s="5" t="s">
        <v>611</v>
      </c>
      <c r="D58" s="5" t="s">
        <v>775</v>
      </c>
      <c r="E58" s="5" t="s">
        <v>776</v>
      </c>
      <c r="F58" s="5" t="s">
        <v>777</v>
      </c>
      <c r="G58" s="5" t="s">
        <v>450</v>
      </c>
      <c r="H58" s="5" t="s">
        <v>145</v>
      </c>
      <c r="I58" s="5" t="s">
        <v>145</v>
      </c>
      <c r="J58" s="5" t="s">
        <v>145</v>
      </c>
      <c r="K58" s="5" t="s">
        <v>145</v>
      </c>
      <c r="L58" s="5" t="s">
        <v>145</v>
      </c>
      <c r="M58" s="5" t="s">
        <v>145</v>
      </c>
      <c r="N58" s="5" t="s">
        <v>776</v>
      </c>
      <c r="O58" s="5" t="str" cm="1">
        <f t="array" ref="O58">_xlfn.XLOOKUP(Tabella2[[#This Row],[Corretta]],Tabella2[[#This Row],[opzione 1]:[opzione 10]],Tabella2[[#This Row],[opzione 1]:[opzione 10]])</f>
        <v>Attività NVA1</v>
      </c>
    </row>
    <row r="59" spans="1:15" ht="100.8" x14ac:dyDescent="0.3">
      <c r="A59" s="5" t="s">
        <v>568</v>
      </c>
      <c r="B59" s="5" t="s">
        <v>53</v>
      </c>
      <c r="C59" s="5" t="s">
        <v>143</v>
      </c>
      <c r="D59" s="5" t="s">
        <v>616</v>
      </c>
      <c r="E59" s="5" t="s">
        <v>617</v>
      </c>
      <c r="F59" s="5" t="s">
        <v>261</v>
      </c>
      <c r="G59" s="5" t="s">
        <v>451</v>
      </c>
      <c r="H59" s="5" t="s">
        <v>145</v>
      </c>
      <c r="I59" s="5" t="s">
        <v>145</v>
      </c>
      <c r="J59" s="5" t="s">
        <v>145</v>
      </c>
      <c r="K59" s="5" t="s">
        <v>145</v>
      </c>
      <c r="L59" s="5" t="s">
        <v>145</v>
      </c>
      <c r="M59" s="5" t="s">
        <v>145</v>
      </c>
      <c r="N59" s="5" t="s">
        <v>261</v>
      </c>
      <c r="O59" s="5" t="str" cm="1">
        <f t="array" ref="O59">_xlfn.XLOOKUP(Tabella2[[#This Row],[Corretta]],Tabella2[[#This Row],[opzione 1]:[opzione 10]],Tabella2[[#This Row],[opzione 1]:[opzione 10]])</f>
        <v>Standardizzare le componenti per ridurre la varietà e i set-up</v>
      </c>
    </row>
    <row r="60" spans="1:15" ht="28.8" x14ac:dyDescent="0.3">
      <c r="A60" s="5" t="s">
        <v>568</v>
      </c>
      <c r="B60" s="5" t="s">
        <v>53</v>
      </c>
      <c r="C60" s="5" t="s">
        <v>144</v>
      </c>
      <c r="D60" s="5" t="s">
        <v>450</v>
      </c>
      <c r="E60" s="5" t="s">
        <v>452</v>
      </c>
      <c r="F60" s="5" t="s">
        <v>41</v>
      </c>
      <c r="G60" s="5" t="s">
        <v>453</v>
      </c>
      <c r="H60" s="5" t="s">
        <v>145</v>
      </c>
      <c r="I60" s="5" t="s">
        <v>145</v>
      </c>
      <c r="J60" s="5" t="s">
        <v>145</v>
      </c>
      <c r="K60" s="5" t="s">
        <v>145</v>
      </c>
      <c r="L60" s="5" t="s">
        <v>145</v>
      </c>
      <c r="M60" s="5" t="s">
        <v>145</v>
      </c>
      <c r="N60" s="5" t="s">
        <v>450</v>
      </c>
      <c r="O60" s="5" t="str" cm="1">
        <f t="array" ref="O60">_xlfn.XLOOKUP(Tabella2[[#This Row],[Corretta]],Tabella2[[#This Row],[opzione 1]:[opzione 10]],Tabella2[[#This Row],[opzione 1]:[opzione 10]])</f>
        <v>Sovrapproduzione</v>
      </c>
    </row>
    <row r="61" spans="1:15" ht="28.8" x14ac:dyDescent="0.3">
      <c r="A61" s="5" t="s">
        <v>568</v>
      </c>
      <c r="B61" s="5" t="s">
        <v>53</v>
      </c>
      <c r="C61" s="5" t="s">
        <v>778</v>
      </c>
      <c r="D61" s="5" t="s">
        <v>456</v>
      </c>
      <c r="E61" s="5" t="s">
        <v>455</v>
      </c>
      <c r="F61" s="5" t="s">
        <v>145</v>
      </c>
      <c r="G61" s="5" t="s">
        <v>145</v>
      </c>
      <c r="H61" s="5" t="s">
        <v>145</v>
      </c>
      <c r="I61" s="5" t="s">
        <v>145</v>
      </c>
      <c r="J61" s="5" t="s">
        <v>145</v>
      </c>
      <c r="K61" s="5" t="s">
        <v>145</v>
      </c>
      <c r="L61" s="5" t="s">
        <v>145</v>
      </c>
      <c r="M61" s="5" t="s">
        <v>145</v>
      </c>
      <c r="N61" s="5" t="s">
        <v>456</v>
      </c>
      <c r="O61" s="5" t="str" cm="1">
        <f t="array" ref="O61">_xlfn.XLOOKUP(Tabella2[[#This Row],[Corretta]],Tabella2[[#This Row],[opzione 1]:[opzione 10]],Tabella2[[#This Row],[opzione 1]:[opzione 10]])</f>
        <v xml:space="preserve">Vero
</v>
      </c>
    </row>
    <row r="62" spans="1:15" ht="28.8" x14ac:dyDescent="0.3">
      <c r="A62" s="5" t="s">
        <v>568</v>
      </c>
      <c r="B62" s="5" t="s">
        <v>53</v>
      </c>
      <c r="C62" s="5" t="s">
        <v>619</v>
      </c>
      <c r="D62" s="5" t="s">
        <v>456</v>
      </c>
      <c r="E62" s="5" t="s">
        <v>455</v>
      </c>
      <c r="F62" s="5" t="s">
        <v>145</v>
      </c>
      <c r="G62" s="5" t="s">
        <v>145</v>
      </c>
      <c r="H62" s="5" t="s">
        <v>145</v>
      </c>
      <c r="I62" s="5" t="s">
        <v>145</v>
      </c>
      <c r="J62" s="5" t="s">
        <v>145</v>
      </c>
      <c r="K62" s="5" t="s">
        <v>145</v>
      </c>
      <c r="L62" s="5" t="s">
        <v>145</v>
      </c>
      <c r="M62" s="5" t="s">
        <v>145</v>
      </c>
      <c r="N62" s="5" t="s">
        <v>456</v>
      </c>
      <c r="O62" s="5" t="str" cm="1">
        <f t="array" ref="O62">_xlfn.XLOOKUP(Tabella2[[#This Row],[Corretta]],Tabella2[[#This Row],[opzione 1]:[opzione 10]],Tabella2[[#This Row],[opzione 1]:[opzione 10]])</f>
        <v xml:space="preserve">Vero
</v>
      </c>
    </row>
    <row r="63" spans="1:15" ht="28.8" x14ac:dyDescent="0.3">
      <c r="A63" s="5" t="s">
        <v>568</v>
      </c>
      <c r="B63" s="5" t="s">
        <v>53</v>
      </c>
      <c r="C63" s="5" t="s">
        <v>620</v>
      </c>
      <c r="D63" s="5" t="s">
        <v>456</v>
      </c>
      <c r="E63" s="5" t="s">
        <v>455</v>
      </c>
      <c r="F63" s="5" t="s">
        <v>145</v>
      </c>
      <c r="G63" s="5" t="s">
        <v>145</v>
      </c>
      <c r="H63" s="5" t="s">
        <v>145</v>
      </c>
      <c r="I63" s="5" t="s">
        <v>145</v>
      </c>
      <c r="J63" s="5" t="s">
        <v>145</v>
      </c>
      <c r="K63" s="5" t="s">
        <v>145</v>
      </c>
      <c r="L63" s="5" t="s">
        <v>145</v>
      </c>
      <c r="M63" s="5" t="s">
        <v>145</v>
      </c>
      <c r="N63" s="5" t="s">
        <v>455</v>
      </c>
      <c r="O63" s="5" t="str" cm="1">
        <f t="array" ref="O63">_xlfn.XLOOKUP(Tabella2[[#This Row],[Corretta]],Tabella2[[#This Row],[opzione 1]:[opzione 10]],Tabella2[[#This Row],[opzione 1]:[opzione 10]])</f>
        <v>Falso</v>
      </c>
    </row>
    <row r="64" spans="1:15" ht="28.8" x14ac:dyDescent="0.3">
      <c r="A64" s="5" t="s">
        <v>568</v>
      </c>
      <c r="B64" s="5" t="s">
        <v>53</v>
      </c>
      <c r="C64" s="5" t="s">
        <v>834</v>
      </c>
      <c r="D64" s="5" t="s">
        <v>456</v>
      </c>
      <c r="E64" s="5" t="s">
        <v>455</v>
      </c>
      <c r="F64" s="5" t="s">
        <v>145</v>
      </c>
      <c r="G64" s="5" t="s">
        <v>145</v>
      </c>
      <c r="H64" s="5" t="s">
        <v>145</v>
      </c>
      <c r="I64" s="5" t="s">
        <v>145</v>
      </c>
      <c r="J64" s="5" t="s">
        <v>145</v>
      </c>
      <c r="K64" s="5" t="s">
        <v>145</v>
      </c>
      <c r="L64" s="5" t="s">
        <v>145</v>
      </c>
      <c r="M64" s="5" t="s">
        <v>145</v>
      </c>
      <c r="N64" s="5" t="s">
        <v>456</v>
      </c>
      <c r="O64" s="5" t="str" cm="1">
        <f t="array" ref="O64">_xlfn.XLOOKUP(Tabella2[[#This Row],[Corretta]],Tabella2[[#This Row],[opzione 1]:[opzione 10]],Tabella2[[#This Row],[opzione 1]:[opzione 10]])</f>
        <v xml:space="preserve">Vero
</v>
      </c>
    </row>
    <row r="65" spans="1:15" ht="43.2" x14ac:dyDescent="0.3">
      <c r="A65" s="5" t="s">
        <v>568</v>
      </c>
      <c r="B65" s="5" t="s">
        <v>53</v>
      </c>
      <c r="C65" s="5" t="s">
        <v>781</v>
      </c>
      <c r="D65" s="5" t="s">
        <v>621</v>
      </c>
      <c r="E65" s="5" t="s">
        <v>457</v>
      </c>
      <c r="F65" s="5" t="s">
        <v>458</v>
      </c>
      <c r="G65" s="5" t="s">
        <v>348</v>
      </c>
      <c r="H65" s="5" t="s">
        <v>145</v>
      </c>
      <c r="I65" s="5" t="s">
        <v>145</v>
      </c>
      <c r="J65" s="5" t="s">
        <v>145</v>
      </c>
      <c r="K65" s="5" t="s">
        <v>145</v>
      </c>
      <c r="L65" s="5" t="s">
        <v>145</v>
      </c>
      <c r="M65" s="5" t="s">
        <v>145</v>
      </c>
      <c r="N65" s="5" t="s">
        <v>348</v>
      </c>
      <c r="O65" s="5" t="str" cm="1">
        <f t="array" ref="O65">_xlfn.XLOOKUP(Tabella2[[#This Row],[Corretta]],Tabella2[[#This Row],[opzione 1]:[opzione 10]],Tabella2[[#This Row],[opzione 1]:[opzione 10]])</f>
        <v>Tutte le precedenti</v>
      </c>
    </row>
    <row r="66" spans="1:15" ht="115.2" x14ac:dyDescent="0.3">
      <c r="A66" s="5" t="s">
        <v>568</v>
      </c>
      <c r="B66" s="5" t="s">
        <v>53</v>
      </c>
      <c r="C66" s="5" t="s">
        <v>349</v>
      </c>
      <c r="D66" s="5" t="s">
        <v>459</v>
      </c>
      <c r="E66" s="5" t="s">
        <v>460</v>
      </c>
      <c r="F66" s="5" t="s">
        <v>622</v>
      </c>
      <c r="G66" s="5" t="s">
        <v>461</v>
      </c>
      <c r="H66" s="5" t="s">
        <v>145</v>
      </c>
      <c r="I66" s="5" t="s">
        <v>145</v>
      </c>
      <c r="J66" s="5" t="s">
        <v>145</v>
      </c>
      <c r="K66" s="5" t="s">
        <v>145</v>
      </c>
      <c r="L66" s="5" t="s">
        <v>145</v>
      </c>
      <c r="M66" s="5" t="s">
        <v>145</v>
      </c>
      <c r="N66" s="5" t="s">
        <v>460</v>
      </c>
      <c r="O66" s="5" t="str" cm="1">
        <f t="array" ref="O66">_xlfn.XLOOKUP(Tabella2[[#This Row],[Corretta]],Tabella2[[#This Row],[opzione 1]:[opzione 10]],Tabella2[[#This Row],[opzione 1]:[opzione 10]])</f>
        <v>Dotare ogni postazione di strumenti e materiali dedicati</v>
      </c>
    </row>
    <row r="67" spans="1:15" ht="129.6" x14ac:dyDescent="0.3">
      <c r="A67" s="5" t="s">
        <v>568</v>
      </c>
      <c r="B67" s="5" t="s">
        <v>53</v>
      </c>
      <c r="C67" s="5" t="s">
        <v>625</v>
      </c>
      <c r="D67" s="5" t="s">
        <v>623</v>
      </c>
      <c r="E67" s="5" t="s">
        <v>624</v>
      </c>
      <c r="F67" s="5" t="s">
        <v>463</v>
      </c>
      <c r="G67" s="5" t="s">
        <v>462</v>
      </c>
      <c r="H67" s="5" t="s">
        <v>145</v>
      </c>
      <c r="I67" s="5" t="s">
        <v>145</v>
      </c>
      <c r="J67" s="5" t="s">
        <v>145</v>
      </c>
      <c r="K67" s="5" t="s">
        <v>145</v>
      </c>
      <c r="L67" s="5" t="s">
        <v>145</v>
      </c>
      <c r="M67" s="5" t="s">
        <v>145</v>
      </c>
      <c r="N67" s="5" t="s">
        <v>463</v>
      </c>
      <c r="O67" s="5" t="str" cm="1">
        <f t="array" ref="O67">_xlfn.XLOOKUP(Tabella2[[#This Row],[Corretta]],Tabella2[[#This Row],[opzione 1]:[opzione 10]],Tabella2[[#This Row],[opzione 1]:[opzione 10]])</f>
        <v>Vengono considerati il “male assoluto” da eliminare sistematicamente</v>
      </c>
    </row>
    <row r="68" spans="1:15" ht="129.6" x14ac:dyDescent="0.3">
      <c r="A68" s="5" t="s">
        <v>568</v>
      </c>
      <c r="B68" s="5" t="s">
        <v>64</v>
      </c>
      <c r="C68" s="5" t="s">
        <v>350</v>
      </c>
      <c r="D68" s="5" t="s">
        <v>575</v>
      </c>
      <c r="E68" s="5" t="s">
        <v>465</v>
      </c>
      <c r="F68" s="5" t="s">
        <v>576</v>
      </c>
      <c r="G68" s="5" t="s">
        <v>464</v>
      </c>
      <c r="H68" s="5" t="s">
        <v>145</v>
      </c>
      <c r="I68" s="5" t="s">
        <v>145</v>
      </c>
      <c r="J68" s="5" t="s">
        <v>145</v>
      </c>
      <c r="K68" s="5" t="s">
        <v>145</v>
      </c>
      <c r="L68" s="5" t="s">
        <v>145</v>
      </c>
      <c r="M68" s="5" t="s">
        <v>145</v>
      </c>
      <c r="N68" s="5" t="s">
        <v>465</v>
      </c>
      <c r="O68" s="5" t="str" cm="1">
        <f t="array" ref="O68">_xlfn.XLOOKUP(Tabella2[[#This Row],[Corretta]],Tabella2[[#This Row],[opzione 1]:[opzione 10]],Tabella2[[#This Row],[opzione 1]:[opzione 10]])</f>
        <v>In contesti di alta personalizzazione e variabilità della domanda</v>
      </c>
    </row>
    <row r="69" spans="1:15" ht="187.2" x14ac:dyDescent="0.3">
      <c r="A69" s="5" t="s">
        <v>568</v>
      </c>
      <c r="B69" s="5" t="s">
        <v>64</v>
      </c>
      <c r="C69" s="5" t="s">
        <v>146</v>
      </c>
      <c r="D69" s="5" t="s">
        <v>577</v>
      </c>
      <c r="E69" s="5" t="s">
        <v>578</v>
      </c>
      <c r="F69" s="5" t="s">
        <v>580</v>
      </c>
      <c r="G69" s="5" t="s">
        <v>579</v>
      </c>
      <c r="H69" s="5" t="s">
        <v>145</v>
      </c>
      <c r="I69" s="5" t="s">
        <v>145</v>
      </c>
      <c r="J69" s="5" t="s">
        <v>145</v>
      </c>
      <c r="K69" s="5" t="s">
        <v>145</v>
      </c>
      <c r="L69" s="5" t="s">
        <v>145</v>
      </c>
      <c r="M69" s="5" t="s">
        <v>145</v>
      </c>
      <c r="N69" s="5" t="s">
        <v>580</v>
      </c>
      <c r="O69" s="5" t="str" cm="1">
        <f t="array" ref="O69">_xlfn.XLOOKUP(Tabella2[[#This Row],[Corretta]],Tabella2[[#This Row],[opzione 1]:[opzione 10]],Tabella2[[#This Row],[opzione 1]:[opzione 10]])</f>
        <v>Quando il lead time richiesto è maggiore o uguale al lead time performato e i processi sono stabili</v>
      </c>
    </row>
    <row r="70" spans="1:15" ht="129.6" x14ac:dyDescent="0.3">
      <c r="A70" s="5" t="s">
        <v>568</v>
      </c>
      <c r="B70" s="5" t="s">
        <v>64</v>
      </c>
      <c r="C70" s="5" t="s">
        <v>581</v>
      </c>
      <c r="D70" s="5" t="s">
        <v>582</v>
      </c>
      <c r="E70" s="5" t="s">
        <v>467</v>
      </c>
      <c r="F70" s="5" t="s">
        <v>584</v>
      </c>
      <c r="G70" s="5" t="s">
        <v>466</v>
      </c>
      <c r="H70" s="5" t="s">
        <v>145</v>
      </c>
      <c r="I70" s="5" t="s">
        <v>145</v>
      </c>
      <c r="J70" s="5" t="s">
        <v>145</v>
      </c>
      <c r="K70" s="5" t="s">
        <v>145</v>
      </c>
      <c r="L70" s="5" t="s">
        <v>145</v>
      </c>
      <c r="M70" s="5" t="s">
        <v>145</v>
      </c>
      <c r="N70" s="5" t="s">
        <v>467</v>
      </c>
      <c r="O70" s="5" t="str" cm="1">
        <f t="array" ref="O70">_xlfn.XLOOKUP(Tabella2[[#This Row],[Corretta]],Tabella2[[#This Row],[opzione 1]:[opzione 10]],Tabella2[[#This Row],[opzione 1]:[opzione 10]])</f>
        <v>La produzione è livellata ma non sincronizzata con la domanda</v>
      </c>
    </row>
    <row r="71" spans="1:15" ht="144" x14ac:dyDescent="0.3">
      <c r="A71" s="5" t="s">
        <v>568</v>
      </c>
      <c r="B71" s="5" t="s">
        <v>64</v>
      </c>
      <c r="C71" s="5" t="s">
        <v>786</v>
      </c>
      <c r="D71" s="5" t="s">
        <v>585</v>
      </c>
      <c r="E71" s="5" t="s">
        <v>469</v>
      </c>
      <c r="F71" s="5" t="s">
        <v>586</v>
      </c>
      <c r="G71" s="5" t="s">
        <v>468</v>
      </c>
      <c r="H71" s="5" t="s">
        <v>145</v>
      </c>
      <c r="I71" s="5" t="s">
        <v>145</v>
      </c>
      <c r="J71" s="5" t="s">
        <v>145</v>
      </c>
      <c r="K71" s="5" t="s">
        <v>145</v>
      </c>
      <c r="L71" s="5" t="s">
        <v>145</v>
      </c>
      <c r="M71" s="5" t="s">
        <v>145</v>
      </c>
      <c r="N71" s="5" t="s">
        <v>469</v>
      </c>
      <c r="O71" s="5" t="str" cm="1">
        <f t="array" ref="O71">_xlfn.XLOOKUP(Tabella2[[#This Row],[Corretta]],Tabella2[[#This Row],[opzione 1]:[opzione 10]],Tabella2[[#This Row],[opzione 1]:[opzione 10]])</f>
        <v>Il sistema è progettato per assorbire la complessità invece che ridurla</v>
      </c>
    </row>
    <row r="72" spans="1:15" ht="28.8" x14ac:dyDescent="0.3">
      <c r="A72" s="5" t="s">
        <v>568</v>
      </c>
      <c r="B72" s="5" t="s">
        <v>64</v>
      </c>
      <c r="C72" s="5" t="s">
        <v>588</v>
      </c>
      <c r="D72" s="5" t="s">
        <v>456</v>
      </c>
      <c r="E72" s="5" t="s">
        <v>455</v>
      </c>
      <c r="F72" s="5" t="s">
        <v>145</v>
      </c>
      <c r="G72" s="5" t="s">
        <v>145</v>
      </c>
      <c r="H72" s="5" t="s">
        <v>145</v>
      </c>
      <c r="I72" s="5" t="s">
        <v>145</v>
      </c>
      <c r="J72" s="5" t="s">
        <v>145</v>
      </c>
      <c r="K72" s="5" t="s">
        <v>145</v>
      </c>
      <c r="L72" s="5" t="s">
        <v>145</v>
      </c>
      <c r="M72" s="5" t="s">
        <v>145</v>
      </c>
      <c r="N72" s="5" t="s">
        <v>455</v>
      </c>
      <c r="O72" s="5" t="str" cm="1">
        <f t="array" ref="O72">_xlfn.XLOOKUP(Tabella2[[#This Row],[Corretta]],Tabella2[[#This Row],[opzione 1]:[opzione 10]],Tabella2[[#This Row],[opzione 1]:[opzione 10]])</f>
        <v>Falso</v>
      </c>
    </row>
    <row r="73" spans="1:15" ht="28.8" x14ac:dyDescent="0.3">
      <c r="A73" s="5" t="s">
        <v>568</v>
      </c>
      <c r="B73" s="5" t="s">
        <v>64</v>
      </c>
      <c r="C73" s="5" t="s">
        <v>589</v>
      </c>
      <c r="D73" s="5" t="s">
        <v>456</v>
      </c>
      <c r="E73" s="5" t="s">
        <v>455</v>
      </c>
      <c r="F73" s="5" t="s">
        <v>145</v>
      </c>
      <c r="G73" s="5" t="s">
        <v>145</v>
      </c>
      <c r="H73" s="5" t="s">
        <v>145</v>
      </c>
      <c r="I73" s="5" t="s">
        <v>145</v>
      </c>
      <c r="J73" s="5" t="s">
        <v>145</v>
      </c>
      <c r="K73" s="5" t="s">
        <v>145</v>
      </c>
      <c r="L73" s="5" t="s">
        <v>145</v>
      </c>
      <c r="M73" s="5" t="s">
        <v>145</v>
      </c>
      <c r="N73" s="5" t="s">
        <v>456</v>
      </c>
      <c r="O73" s="5" t="str" cm="1">
        <f t="array" ref="O73">_xlfn.XLOOKUP(Tabella2[[#This Row],[Corretta]],Tabella2[[#This Row],[opzione 1]:[opzione 10]],Tabella2[[#This Row],[opzione 1]:[opzione 10]])</f>
        <v xml:space="preserve">Vero
</v>
      </c>
    </row>
    <row r="74" spans="1:15" ht="158.4" x14ac:dyDescent="0.3">
      <c r="A74" s="5" t="s">
        <v>568</v>
      </c>
      <c r="B74" s="5" t="s">
        <v>64</v>
      </c>
      <c r="C74" s="5" t="s">
        <v>351</v>
      </c>
      <c r="D74" s="5" t="s">
        <v>593</v>
      </c>
      <c r="E74" s="5" t="s">
        <v>590</v>
      </c>
      <c r="F74" s="5" t="s">
        <v>472</v>
      </c>
      <c r="G74" s="5" t="s">
        <v>591</v>
      </c>
      <c r="H74" s="5" t="s">
        <v>145</v>
      </c>
      <c r="I74" s="5" t="s">
        <v>145</v>
      </c>
      <c r="J74" s="5" t="s">
        <v>145</v>
      </c>
      <c r="K74" s="5" t="s">
        <v>145</v>
      </c>
      <c r="L74" s="5" t="s">
        <v>145</v>
      </c>
      <c r="M74" s="5" t="s">
        <v>145</v>
      </c>
      <c r="N74" s="5" t="s">
        <v>593</v>
      </c>
      <c r="O74" s="5" t="str" cm="1">
        <f t="array" ref="O74">_xlfn.XLOOKUP(Tabella2[[#This Row],[Corretta]],Tabella2[[#This Row],[opzione 1]:[opzione 10]],Tabella2[[#This Row],[opzione 1]:[opzione 10]])</f>
        <v>Non si avranno a disposizione informazioni sulla qualità, sui costi o/e sui tempi corrette</v>
      </c>
    </row>
    <row r="75" spans="1:15" ht="201.6" x14ac:dyDescent="0.3">
      <c r="A75" s="5" t="s">
        <v>568</v>
      </c>
      <c r="B75" s="5" t="s">
        <v>64</v>
      </c>
      <c r="C75" s="5" t="s">
        <v>352</v>
      </c>
      <c r="D75" s="5" t="s">
        <v>594</v>
      </c>
      <c r="E75" s="5" t="s">
        <v>590</v>
      </c>
      <c r="F75" s="5" t="s">
        <v>471</v>
      </c>
      <c r="G75" s="5" t="s">
        <v>591</v>
      </c>
      <c r="H75" s="5" t="s">
        <v>145</v>
      </c>
      <c r="I75" s="5" t="s">
        <v>145</v>
      </c>
      <c r="J75" s="5" t="s">
        <v>145</v>
      </c>
      <c r="K75" s="5" t="s">
        <v>145</v>
      </c>
      <c r="L75" s="5" t="s">
        <v>145</v>
      </c>
      <c r="M75" s="5" t="s">
        <v>145</v>
      </c>
      <c r="N75" s="5" t="s">
        <v>590</v>
      </c>
      <c r="O75" s="5" t="str" cm="1">
        <f t="array" ref="O75">_xlfn.XLOOKUP(Tabella2[[#This Row],[Corretta]],Tabella2[[#This Row],[opzione 1]:[opzione 10]],Tabella2[[#This Row],[opzione 1]:[opzione 10]])</f>
        <v>Le informazioni parziali verranno interpretate in autonomia, generando variabilità tra operatori</v>
      </c>
    </row>
    <row r="76" spans="1:15" ht="158.4" x14ac:dyDescent="0.3">
      <c r="A76" s="5" t="s">
        <v>568</v>
      </c>
      <c r="B76" s="5" t="s">
        <v>64</v>
      </c>
      <c r="C76" s="5" t="s">
        <v>353</v>
      </c>
      <c r="D76" s="5" t="s">
        <v>593</v>
      </c>
      <c r="E76" s="5" t="s">
        <v>590</v>
      </c>
      <c r="F76" s="5" t="s">
        <v>592</v>
      </c>
      <c r="G76" s="5" t="s">
        <v>591</v>
      </c>
      <c r="H76" s="5" t="s">
        <v>145</v>
      </c>
      <c r="I76" s="5" t="s">
        <v>145</v>
      </c>
      <c r="J76" s="5" t="s">
        <v>145</v>
      </c>
      <c r="K76" s="5" t="s">
        <v>145</v>
      </c>
      <c r="L76" s="5" t="s">
        <v>145</v>
      </c>
      <c r="M76" s="5" t="s">
        <v>145</v>
      </c>
      <c r="N76" s="5" t="s">
        <v>592</v>
      </c>
      <c r="O76" s="5" t="str" cm="1">
        <f t="array" ref="O76">_xlfn.XLOOKUP(Tabella2[[#This Row],[Corretta]],Tabella2[[#This Row],[opzione 1]:[opzione 10]],Tabella2[[#This Row],[opzione 1]:[opzione 10]])</f>
        <v>Si avranno a disposizione informazioni sulla qualità, sui costi o/e sui tempi errate</v>
      </c>
    </row>
    <row r="77" spans="1:15" ht="172.8" x14ac:dyDescent="0.3">
      <c r="A77" s="5" t="s">
        <v>568</v>
      </c>
      <c r="B77" s="5" t="s">
        <v>64</v>
      </c>
      <c r="C77" s="5" t="s">
        <v>354</v>
      </c>
      <c r="D77" s="5" t="s">
        <v>593</v>
      </c>
      <c r="E77" s="5" t="s">
        <v>590</v>
      </c>
      <c r="F77" s="5" t="s">
        <v>472</v>
      </c>
      <c r="G77" s="5" t="s">
        <v>591</v>
      </c>
      <c r="H77" s="5" t="s">
        <v>145</v>
      </c>
      <c r="I77" s="5" t="s">
        <v>145</v>
      </c>
      <c r="J77" s="5" t="s">
        <v>145</v>
      </c>
      <c r="K77" s="5" t="s">
        <v>145</v>
      </c>
      <c r="L77" s="5" t="s">
        <v>145</v>
      </c>
      <c r="M77" s="5" t="s">
        <v>145</v>
      </c>
      <c r="N77" s="5" t="s">
        <v>591</v>
      </c>
      <c r="O77" s="5" t="str" cm="1">
        <f t="array" ref="O77">_xlfn.XLOOKUP(Tabella2[[#This Row],[Corretta]],Tabella2[[#This Row],[opzione 1]:[opzione 10]],Tabella2[[#This Row],[opzione 1]:[opzione 10]])</f>
        <v>L’attività verrà svolta corretamente, ma potrebbe mancare il momento preciso di consegna al cliente</v>
      </c>
    </row>
    <row r="78" spans="1:15" ht="28.8" x14ac:dyDescent="0.3">
      <c r="A78" s="5" t="s">
        <v>568</v>
      </c>
      <c r="B78" s="5" t="s">
        <v>64</v>
      </c>
      <c r="C78" s="5" t="s">
        <v>596</v>
      </c>
      <c r="D78" s="5" t="s">
        <v>595</v>
      </c>
      <c r="E78" s="5" t="s">
        <v>455</v>
      </c>
      <c r="F78" s="5" t="s">
        <v>145</v>
      </c>
      <c r="G78" s="5" t="s">
        <v>145</v>
      </c>
      <c r="H78" s="5" t="s">
        <v>145</v>
      </c>
      <c r="I78" s="5" t="s">
        <v>145</v>
      </c>
      <c r="J78" s="5" t="s">
        <v>145</v>
      </c>
      <c r="K78" s="5" t="s">
        <v>145</v>
      </c>
      <c r="L78" s="5" t="s">
        <v>145</v>
      </c>
      <c r="M78" s="5" t="s">
        <v>145</v>
      </c>
      <c r="N78" s="5" t="s">
        <v>455</v>
      </c>
      <c r="O78" s="5" t="str" cm="1">
        <f t="array" ref="O78">_xlfn.XLOOKUP(Tabella2[[#This Row],[Corretta]],Tabella2[[#This Row],[opzione 1]:[opzione 10]],Tabella2[[#This Row],[opzione 1]:[opzione 10]])</f>
        <v>Falso</v>
      </c>
    </row>
    <row r="79" spans="1:15" ht="28.8" x14ac:dyDescent="0.3">
      <c r="A79" s="5" t="s">
        <v>568</v>
      </c>
      <c r="B79" s="5" t="s">
        <v>64</v>
      </c>
      <c r="C79" s="5" t="s">
        <v>355</v>
      </c>
      <c r="D79" s="5" t="s">
        <v>456</v>
      </c>
      <c r="E79" s="5" t="s">
        <v>455</v>
      </c>
      <c r="F79" s="5" t="s">
        <v>145</v>
      </c>
      <c r="G79" s="5" t="s">
        <v>145</v>
      </c>
      <c r="H79" s="5" t="s">
        <v>145</v>
      </c>
      <c r="I79" s="5" t="s">
        <v>145</v>
      </c>
      <c r="J79" s="5" t="s">
        <v>145</v>
      </c>
      <c r="K79" s="5" t="s">
        <v>145</v>
      </c>
      <c r="L79" s="5" t="s">
        <v>145</v>
      </c>
      <c r="M79" s="5" t="s">
        <v>145</v>
      </c>
      <c r="N79" s="5" t="s">
        <v>456</v>
      </c>
      <c r="O79" s="5" t="str" cm="1">
        <f t="array" ref="O79">_xlfn.XLOOKUP(Tabella2[[#This Row],[Corretta]],Tabella2[[#This Row],[opzione 1]:[opzione 10]],Tabella2[[#This Row],[opzione 1]:[opzione 10]])</f>
        <v xml:space="preserve">Vero
</v>
      </c>
    </row>
    <row r="80" spans="1:15" ht="172.8" x14ac:dyDescent="0.3">
      <c r="A80" s="5" t="s">
        <v>568</v>
      </c>
      <c r="B80" s="5" t="s">
        <v>64</v>
      </c>
      <c r="C80" s="5" t="s">
        <v>787</v>
      </c>
      <c r="D80" s="5" t="s">
        <v>598</v>
      </c>
      <c r="E80" s="5" t="s">
        <v>599</v>
      </c>
      <c r="F80" s="5" t="s">
        <v>474</v>
      </c>
      <c r="G80" s="5" t="s">
        <v>473</v>
      </c>
      <c r="H80" s="5" t="s">
        <v>145</v>
      </c>
      <c r="I80" s="5" t="s">
        <v>145</v>
      </c>
      <c r="J80" s="5" t="s">
        <v>145</v>
      </c>
      <c r="K80" s="5" t="s">
        <v>145</v>
      </c>
      <c r="L80" s="5" t="s">
        <v>145</v>
      </c>
      <c r="M80" s="5" t="s">
        <v>145</v>
      </c>
      <c r="N80" s="5" t="s">
        <v>474</v>
      </c>
      <c r="O80" s="5" t="str" cm="1">
        <f t="array" ref="O80">_xlfn.XLOOKUP(Tabella2[[#This Row],[Corretta]],Tabella2[[#This Row],[opzione 1]:[opzione 10]],Tabella2[[#This Row],[opzione 1]:[opzione 10]])</f>
        <v>Il processo è potenzialmente disallineato alla domanda, con rischio di generare muda</v>
      </c>
    </row>
    <row r="81" spans="1:15" ht="100.8" x14ac:dyDescent="0.3">
      <c r="A81" s="5" t="s">
        <v>568</v>
      </c>
      <c r="B81" s="5" t="s">
        <v>64</v>
      </c>
      <c r="C81" s="5" t="s">
        <v>600</v>
      </c>
      <c r="D81" s="5" t="s">
        <v>601</v>
      </c>
      <c r="E81" s="5" t="s">
        <v>602</v>
      </c>
      <c r="F81" s="5" t="s">
        <v>476</v>
      </c>
      <c r="G81" s="5" t="s">
        <v>475</v>
      </c>
      <c r="H81" s="5" t="s">
        <v>145</v>
      </c>
      <c r="I81" s="5" t="s">
        <v>145</v>
      </c>
      <c r="J81" s="5" t="s">
        <v>145</v>
      </c>
      <c r="K81" s="5" t="s">
        <v>145</v>
      </c>
      <c r="L81" s="5" t="s">
        <v>145</v>
      </c>
      <c r="M81" s="5" t="s">
        <v>145</v>
      </c>
      <c r="N81" s="5" t="s">
        <v>476</v>
      </c>
      <c r="O81" s="5" t="str" cm="1">
        <f t="array" ref="O81">_xlfn.XLOOKUP(Tabella2[[#This Row],[Corretta]],Tabella2[[#This Row],[opzione 1]:[opzione 10]],Tabella2[[#This Row],[opzione 1]:[opzione 10]])</f>
        <v>Il flusso è più lento della domanda e genera accumulo o ritardi</v>
      </c>
    </row>
    <row r="82" spans="1:15" ht="100.8" x14ac:dyDescent="0.3">
      <c r="A82" s="5" t="s">
        <v>568</v>
      </c>
      <c r="B82" s="5" t="s">
        <v>89</v>
      </c>
      <c r="C82" s="5" t="s">
        <v>680</v>
      </c>
      <c r="D82" s="5" t="s">
        <v>477</v>
      </c>
      <c r="E82" s="5" t="s">
        <v>479</v>
      </c>
      <c r="F82" s="5" t="s">
        <v>790</v>
      </c>
      <c r="G82" s="5" t="s">
        <v>478</v>
      </c>
      <c r="H82" s="5" t="s">
        <v>145</v>
      </c>
      <c r="I82" s="5" t="s">
        <v>145</v>
      </c>
      <c r="J82" s="5" t="s">
        <v>145</v>
      </c>
      <c r="K82" s="5" t="s">
        <v>145</v>
      </c>
      <c r="L82" s="5" t="s">
        <v>145</v>
      </c>
      <c r="M82" s="5" t="s">
        <v>145</v>
      </c>
      <c r="N82" s="5" t="s">
        <v>479</v>
      </c>
      <c r="O82" s="5" t="str" cm="1">
        <f t="array" ref="O82">_xlfn.XLOOKUP(Tabella2[[#This Row],[Corretta]],Tabella2[[#This Row],[opzione 1]:[opzione 10]],Tabella2[[#This Row],[opzione 1]:[opzione 10]])</f>
        <v>Il miglioramento locale ha aumentato gli stock tra le fasi</v>
      </c>
    </row>
    <row r="83" spans="1:15" ht="129.6" x14ac:dyDescent="0.3">
      <c r="A83" s="5" t="s">
        <v>568</v>
      </c>
      <c r="B83" s="5" t="s">
        <v>89</v>
      </c>
      <c r="C83" s="5" t="s">
        <v>681</v>
      </c>
      <c r="D83" s="5" t="s">
        <v>635</v>
      </c>
      <c r="E83" s="5" t="s">
        <v>636</v>
      </c>
      <c r="F83" s="5" t="s">
        <v>481</v>
      </c>
      <c r="G83" s="5" t="s">
        <v>480</v>
      </c>
      <c r="H83" s="5" t="s">
        <v>145</v>
      </c>
      <c r="I83" s="5" t="s">
        <v>145</v>
      </c>
      <c r="J83" s="5" t="s">
        <v>145</v>
      </c>
      <c r="K83" s="5" t="s">
        <v>145</v>
      </c>
      <c r="L83" s="5" t="s">
        <v>145</v>
      </c>
      <c r="M83" s="5" t="s">
        <v>145</v>
      </c>
      <c r="N83" s="5" t="s">
        <v>481</v>
      </c>
      <c r="O83" s="5" t="str" cm="1">
        <f t="array" ref="O83">_xlfn.XLOOKUP(Tabella2[[#This Row],[Corretta]],Tabella2[[#This Row],[opzione 1]:[opzione 10]],Tabella2[[#This Row],[opzione 1]:[opzione 10]])</f>
        <v>Il miglioramento non è stato verificato e standardizzato</v>
      </c>
    </row>
    <row r="84" spans="1:15" ht="28.8" x14ac:dyDescent="0.3">
      <c r="A84" s="5" t="s">
        <v>568</v>
      </c>
      <c r="B84" s="5" t="s">
        <v>89</v>
      </c>
      <c r="C84" s="5" t="s">
        <v>258</v>
      </c>
      <c r="D84" s="5" t="s">
        <v>454</v>
      </c>
      <c r="E84" s="5" t="s">
        <v>455</v>
      </c>
      <c r="F84" s="5" t="s">
        <v>145</v>
      </c>
      <c r="G84" s="5" t="s">
        <v>145</v>
      </c>
      <c r="H84" s="5" t="s">
        <v>145</v>
      </c>
      <c r="I84" s="5" t="s">
        <v>145</v>
      </c>
      <c r="J84" s="5" t="s">
        <v>145</v>
      </c>
      <c r="K84" s="5" t="s">
        <v>145</v>
      </c>
      <c r="L84" s="5" t="s">
        <v>145</v>
      </c>
      <c r="M84" s="5" t="s">
        <v>145</v>
      </c>
      <c r="N84" s="5" t="s">
        <v>454</v>
      </c>
      <c r="O84" s="5" t="str" cm="1">
        <f t="array" ref="O84">_xlfn.XLOOKUP(Tabella2[[#This Row],[Corretta]],Tabella2[[#This Row],[opzione 1]:[opzione 10]],Tabella2[[#This Row],[opzione 1]:[opzione 10]])</f>
        <v>Vero</v>
      </c>
    </row>
    <row r="85" spans="1:15" ht="28.8" x14ac:dyDescent="0.3">
      <c r="A85" s="5" t="s">
        <v>568</v>
      </c>
      <c r="B85" s="5" t="s">
        <v>89</v>
      </c>
      <c r="C85" s="5" t="s">
        <v>257</v>
      </c>
      <c r="D85" s="5" t="s">
        <v>454</v>
      </c>
      <c r="E85" s="5" t="s">
        <v>455</v>
      </c>
      <c r="F85" s="5" t="s">
        <v>145</v>
      </c>
      <c r="G85" s="5" t="s">
        <v>145</v>
      </c>
      <c r="H85" s="5" t="s">
        <v>145</v>
      </c>
      <c r="I85" s="5" t="s">
        <v>145</v>
      </c>
      <c r="J85" s="5" t="s">
        <v>145</v>
      </c>
      <c r="K85" s="5" t="s">
        <v>145</v>
      </c>
      <c r="L85" s="5" t="s">
        <v>145</v>
      </c>
      <c r="M85" s="5" t="s">
        <v>145</v>
      </c>
      <c r="N85" s="5" t="s">
        <v>454</v>
      </c>
      <c r="O85" s="5" t="str" cm="1">
        <f t="array" ref="O85">_xlfn.XLOOKUP(Tabella2[[#This Row],[Corretta]],Tabella2[[#This Row],[opzione 1]:[opzione 10]],Tabella2[[#This Row],[opzione 1]:[opzione 10]])</f>
        <v>Vero</v>
      </c>
    </row>
    <row r="86" spans="1:15" ht="129.6" x14ac:dyDescent="0.3">
      <c r="A86" s="5" t="s">
        <v>568</v>
      </c>
      <c r="B86" s="5" t="s">
        <v>89</v>
      </c>
      <c r="C86" s="5" t="s">
        <v>682</v>
      </c>
      <c r="D86" s="5" t="s">
        <v>637</v>
      </c>
      <c r="E86" s="5" t="s">
        <v>638</v>
      </c>
      <c r="F86" s="5" t="s">
        <v>483</v>
      </c>
      <c r="G86" s="5" t="s">
        <v>482</v>
      </c>
      <c r="H86" s="5" t="s">
        <v>145</v>
      </c>
      <c r="I86" s="5" t="s">
        <v>145</v>
      </c>
      <c r="J86" s="5" t="s">
        <v>145</v>
      </c>
      <c r="K86" s="5" t="s">
        <v>145</v>
      </c>
      <c r="L86" s="5" t="s">
        <v>145</v>
      </c>
      <c r="M86" s="5" t="s">
        <v>145</v>
      </c>
      <c r="N86" s="5" t="s">
        <v>483</v>
      </c>
      <c r="O86" s="5" t="str" cm="1">
        <f t="array" ref="O86">_xlfn.XLOOKUP(Tabella2[[#This Row],[Corretta]],Tabella2[[#This Row],[opzione 1]:[opzione 10]],Tabella2[[#This Row],[opzione 1]:[opzione 10]])</f>
        <v>Verificare la sostenibilità nel tempo e standardizzarla nel contesto locale</v>
      </c>
    </row>
    <row r="87" spans="1:15" ht="28.8" x14ac:dyDescent="0.3">
      <c r="A87" s="5" t="s">
        <v>568</v>
      </c>
      <c r="B87" s="5" t="s">
        <v>89</v>
      </c>
      <c r="C87" s="5" t="s">
        <v>683</v>
      </c>
      <c r="D87" s="5" t="s">
        <v>639</v>
      </c>
      <c r="E87" s="5" t="s">
        <v>640</v>
      </c>
      <c r="F87" s="5" t="s">
        <v>485</v>
      </c>
      <c r="G87" s="5" t="s">
        <v>484</v>
      </c>
      <c r="H87" s="5" t="s">
        <v>145</v>
      </c>
      <c r="I87" s="5" t="s">
        <v>145</v>
      </c>
      <c r="J87" s="5" t="s">
        <v>145</v>
      </c>
      <c r="K87" s="5" t="s">
        <v>145</v>
      </c>
      <c r="L87" s="5" t="s">
        <v>145</v>
      </c>
      <c r="M87" s="5" t="s">
        <v>145</v>
      </c>
      <c r="N87" s="5" t="s">
        <v>485</v>
      </c>
      <c r="O87" s="5" t="str" cm="1">
        <f t="array" ref="O87">_xlfn.XLOOKUP(Tabella2[[#This Row],[Corretta]],Tabella2[[#This Row],[opzione 1]:[opzione 10]],Tabella2[[#This Row],[opzione 1]:[opzione 10]])</f>
        <v>Rilevante</v>
      </c>
    </row>
    <row r="88" spans="1:15" ht="43.2" x14ac:dyDescent="0.3">
      <c r="A88" s="5" t="s">
        <v>568</v>
      </c>
      <c r="B88" s="5" t="s">
        <v>89</v>
      </c>
      <c r="C88" s="5" t="s">
        <v>684</v>
      </c>
      <c r="D88" s="5" t="s">
        <v>642</v>
      </c>
      <c r="E88" s="5" t="s">
        <v>643</v>
      </c>
      <c r="F88" s="5" t="s">
        <v>487</v>
      </c>
      <c r="G88" s="5" t="s">
        <v>486</v>
      </c>
      <c r="H88" s="5" t="s">
        <v>145</v>
      </c>
      <c r="I88" s="5" t="s">
        <v>145</v>
      </c>
      <c r="J88" s="5" t="s">
        <v>145</v>
      </c>
      <c r="K88" s="5" t="s">
        <v>145</v>
      </c>
      <c r="L88" s="5" t="s">
        <v>145</v>
      </c>
      <c r="M88" s="5" t="s">
        <v>145</v>
      </c>
      <c r="N88" s="5" t="s">
        <v>487</v>
      </c>
      <c r="O88" s="5" t="str" cm="1">
        <f t="array" ref="O88">_xlfn.XLOOKUP(Tabella2[[#This Row],[Corretta]],Tabella2[[#This Row],[opzione 1]:[opzione 10]],Tabella2[[#This Row],[opzione 1]:[opzione 10]])</f>
        <v>Sì, le rispetta tutte</v>
      </c>
    </row>
    <row r="89" spans="1:15" ht="28.8" x14ac:dyDescent="0.3">
      <c r="A89" s="5" t="s">
        <v>568</v>
      </c>
      <c r="B89" s="5" t="s">
        <v>89</v>
      </c>
      <c r="C89" s="5" t="s">
        <v>641</v>
      </c>
      <c r="D89" s="5" t="s">
        <v>491</v>
      </c>
      <c r="E89" s="5" t="s">
        <v>644</v>
      </c>
      <c r="F89" s="5" t="s">
        <v>489</v>
      </c>
      <c r="G89" s="5" t="s">
        <v>488</v>
      </c>
      <c r="H89" s="5" t="s">
        <v>145</v>
      </c>
      <c r="I89" s="5" t="s">
        <v>145</v>
      </c>
      <c r="J89" s="5" t="s">
        <v>145</v>
      </c>
      <c r="K89" s="5" t="s">
        <v>145</v>
      </c>
      <c r="L89" s="5" t="s">
        <v>145</v>
      </c>
      <c r="M89" s="5" t="s">
        <v>145</v>
      </c>
      <c r="N89" s="5" t="s">
        <v>489</v>
      </c>
      <c r="O89" s="5" t="str" cm="1">
        <f t="array" ref="O89">_xlfn.XLOOKUP(Tabella2[[#This Row],[Corretta]],Tabella2[[#This Row],[opzione 1]:[opzione 10]],Tabella2[[#This Row],[opzione 1]:[opzione 10]])</f>
        <v>Attuabilità</v>
      </c>
    </row>
    <row r="90" spans="1:15" ht="28.8" x14ac:dyDescent="0.3">
      <c r="A90" s="5" t="s">
        <v>568</v>
      </c>
      <c r="B90" s="5" t="s">
        <v>89</v>
      </c>
      <c r="C90" s="5" t="s">
        <v>685</v>
      </c>
      <c r="D90" s="5" t="s">
        <v>491</v>
      </c>
      <c r="E90" s="5" t="s">
        <v>644</v>
      </c>
      <c r="F90" s="5" t="s">
        <v>488</v>
      </c>
      <c r="G90" s="5" t="s">
        <v>489</v>
      </c>
      <c r="H90" s="5" t="s">
        <v>145</v>
      </c>
      <c r="I90" s="5" t="s">
        <v>145</v>
      </c>
      <c r="J90" s="5" t="s">
        <v>145</v>
      </c>
      <c r="K90" s="5" t="s">
        <v>145</v>
      </c>
      <c r="L90" s="5" t="s">
        <v>145</v>
      </c>
      <c r="M90" s="5" t="s">
        <v>145</v>
      </c>
      <c r="N90" s="5" t="s">
        <v>488</v>
      </c>
      <c r="O90" s="5" t="str" cm="1">
        <f t="array" ref="O90">_xlfn.XLOOKUP(Tabella2[[#This Row],[Corretta]],Tabella2[[#This Row],[opzione 1]:[opzione 10]],Tabella2[[#This Row],[opzione 1]:[opzione 10]])</f>
        <v>Misurabilità</v>
      </c>
    </row>
    <row r="91" spans="1:15" ht="28.8" x14ac:dyDescent="0.3">
      <c r="A91" s="5" t="s">
        <v>568</v>
      </c>
      <c r="B91" s="5" t="s">
        <v>89</v>
      </c>
      <c r="C91" s="5" t="s">
        <v>686</v>
      </c>
      <c r="D91" s="5" t="s">
        <v>644</v>
      </c>
      <c r="E91" s="5" t="s">
        <v>489</v>
      </c>
      <c r="F91" s="5" t="s">
        <v>491</v>
      </c>
      <c r="G91" s="5" t="s">
        <v>490</v>
      </c>
      <c r="H91" s="5" t="s">
        <v>145</v>
      </c>
      <c r="I91" s="5" t="s">
        <v>145</v>
      </c>
      <c r="J91" s="5" t="s">
        <v>145</v>
      </c>
      <c r="K91" s="5" t="s">
        <v>145</v>
      </c>
      <c r="L91" s="5" t="s">
        <v>145</v>
      </c>
      <c r="M91" s="5" t="s">
        <v>145</v>
      </c>
      <c r="N91" s="5" t="s">
        <v>491</v>
      </c>
      <c r="O91" s="5" t="str" cm="1">
        <f t="array" ref="O91">_xlfn.XLOOKUP(Tabella2[[#This Row],[Corretta]],Tabella2[[#This Row],[opzione 1]:[opzione 10]],Tabella2[[#This Row],[opzione 1]:[opzione 10]])</f>
        <v>Rilevanza</v>
      </c>
    </row>
    <row r="92" spans="1:15" ht="43.2" x14ac:dyDescent="0.3">
      <c r="A92" s="5" t="s">
        <v>568</v>
      </c>
      <c r="B92" s="5" t="s">
        <v>147</v>
      </c>
      <c r="C92" s="5" t="s">
        <v>780</v>
      </c>
      <c r="D92" s="5" t="s">
        <v>707</v>
      </c>
      <c r="E92" s="5" t="s">
        <v>708</v>
      </c>
      <c r="F92" s="5" t="s">
        <v>493</v>
      </c>
      <c r="G92" s="5" t="s">
        <v>492</v>
      </c>
      <c r="H92" s="5" t="s">
        <v>145</v>
      </c>
      <c r="I92" s="5" t="s">
        <v>145</v>
      </c>
      <c r="J92" s="5" t="s">
        <v>145</v>
      </c>
      <c r="K92" s="5" t="s">
        <v>145</v>
      </c>
      <c r="L92" s="5" t="s">
        <v>145</v>
      </c>
      <c r="M92" s="5" t="s">
        <v>145</v>
      </c>
      <c r="N92" s="5" t="s">
        <v>493</v>
      </c>
      <c r="O92" s="5" t="str" cm="1">
        <f t="array" ref="O92">_xlfn.XLOOKUP(Tabella2[[#This Row],[Corretta]],Tabella2[[#This Row],[opzione 1]:[opzione 10]],Tabella2[[#This Row],[opzione 1]:[opzione 10]])</f>
        <v>Una visione unificata</v>
      </c>
    </row>
    <row r="93" spans="1:15" ht="129.6" x14ac:dyDescent="0.3">
      <c r="A93" s="5" t="s">
        <v>568</v>
      </c>
      <c r="B93" s="5" t="s">
        <v>147</v>
      </c>
      <c r="C93" s="5" t="s">
        <v>148</v>
      </c>
      <c r="D93" s="5" t="s">
        <v>709</v>
      </c>
      <c r="E93" s="5" t="s">
        <v>495</v>
      </c>
      <c r="F93" s="5" t="s">
        <v>710</v>
      </c>
      <c r="G93" s="5" t="s">
        <v>494</v>
      </c>
      <c r="H93" s="5" t="s">
        <v>145</v>
      </c>
      <c r="I93" s="5" t="s">
        <v>145</v>
      </c>
      <c r="J93" s="5" t="s">
        <v>145</v>
      </c>
      <c r="K93" s="5" t="s">
        <v>145</v>
      </c>
      <c r="L93" s="5" t="s">
        <v>145</v>
      </c>
      <c r="M93" s="5" t="s">
        <v>145</v>
      </c>
      <c r="N93" s="5" t="s">
        <v>495</v>
      </c>
      <c r="O93" s="5" t="str" cm="1">
        <f t="array" ref="O93">_xlfn.XLOOKUP(Tabella2[[#This Row],[Corretta]],Tabella2[[#This Row],[opzione 1]:[opzione 10]],Tabella2[[#This Row],[opzione 1]:[opzione 10]])</f>
        <v>Perché i risultati si disperdono se non sono integrati nella strategia aziendale</v>
      </c>
    </row>
    <row r="94" spans="1:15" ht="172.8" x14ac:dyDescent="0.3">
      <c r="A94" s="5" t="s">
        <v>568</v>
      </c>
      <c r="B94" s="5" t="s">
        <v>147</v>
      </c>
      <c r="C94" s="5" t="s">
        <v>148</v>
      </c>
      <c r="D94" s="5" t="s">
        <v>496</v>
      </c>
      <c r="E94" s="5" t="s">
        <v>711</v>
      </c>
      <c r="F94" s="5" t="s">
        <v>712</v>
      </c>
      <c r="G94" s="5" t="s">
        <v>771</v>
      </c>
      <c r="H94" s="5" t="s">
        <v>145</v>
      </c>
      <c r="I94" s="5" t="s">
        <v>145</v>
      </c>
      <c r="J94" s="5" t="s">
        <v>145</v>
      </c>
      <c r="K94" s="5" t="s">
        <v>145</v>
      </c>
      <c r="L94" s="5" t="s">
        <v>145</v>
      </c>
      <c r="M94" s="5" t="s">
        <v>145</v>
      </c>
      <c r="N94" s="5" t="s">
        <v>496</v>
      </c>
      <c r="O94" s="5" t="str" cm="1">
        <f t="array" ref="O94">_xlfn.XLOOKUP(Tabella2[[#This Row],[Corretta]],Tabella2[[#This Row],[opzione 1]:[opzione 10]],Tabella2[[#This Row],[opzione 1]:[opzione 10]])</f>
        <v>Perché il miglioramento locale può generare risultati in contrasto con gli obiettivi complessivi</v>
      </c>
    </row>
    <row r="95" spans="1:15" ht="129.6" x14ac:dyDescent="0.3">
      <c r="A95" s="5" t="s">
        <v>568</v>
      </c>
      <c r="B95" s="5" t="s">
        <v>147</v>
      </c>
      <c r="C95" s="5" t="s">
        <v>688</v>
      </c>
      <c r="D95" s="5" t="s">
        <v>788</v>
      </c>
      <c r="E95" s="5" t="s">
        <v>498</v>
      </c>
      <c r="F95" s="5" t="s">
        <v>499</v>
      </c>
      <c r="G95" s="5" t="s">
        <v>500</v>
      </c>
      <c r="H95" s="5" t="s">
        <v>145</v>
      </c>
      <c r="I95" s="5" t="s">
        <v>145</v>
      </c>
      <c r="J95" s="5" t="s">
        <v>145</v>
      </c>
      <c r="K95" s="5" t="s">
        <v>145</v>
      </c>
      <c r="L95" s="5" t="s">
        <v>145</v>
      </c>
      <c r="M95" s="5" t="s">
        <v>145</v>
      </c>
      <c r="N95" s="5" t="s">
        <v>499</v>
      </c>
      <c r="O95" s="5" t="str" cm="1">
        <f t="array" ref="O95">_xlfn.XLOOKUP(Tabella2[[#This Row],[Corretta]],Tabella2[[#This Row],[opzione 1]:[opzione 10]],Tabella2[[#This Row],[opzione 1]:[opzione 10]])</f>
        <v>Gli obiettivi locali non sono allineati con gli obiettivi di value stream</v>
      </c>
    </row>
    <row r="96" spans="1:15" ht="129.6" x14ac:dyDescent="0.3">
      <c r="A96" s="5" t="s">
        <v>568</v>
      </c>
      <c r="B96" s="5" t="s">
        <v>147</v>
      </c>
      <c r="C96" s="5" t="s">
        <v>689</v>
      </c>
      <c r="D96" s="5" t="s">
        <v>501</v>
      </c>
      <c r="E96" s="5" t="s">
        <v>502</v>
      </c>
      <c r="F96" s="5" t="s">
        <v>503</v>
      </c>
      <c r="G96" s="5" t="s">
        <v>504</v>
      </c>
      <c r="H96" s="5" t="s">
        <v>145</v>
      </c>
      <c r="I96" s="5" t="s">
        <v>145</v>
      </c>
      <c r="J96" s="5" t="s">
        <v>145</v>
      </c>
      <c r="K96" s="5" t="s">
        <v>145</v>
      </c>
      <c r="L96" s="5" t="s">
        <v>145</v>
      </c>
      <c r="M96" s="5" t="s">
        <v>145</v>
      </c>
      <c r="N96" s="5" t="s">
        <v>503</v>
      </c>
      <c r="O96" s="5" t="str" cm="1">
        <f t="array" ref="O96">_xlfn.XLOOKUP(Tabella2[[#This Row],[Corretta]],Tabella2[[#This Row],[opzione 1]:[opzione 10]],Tabella2[[#This Row],[opzione 1]:[opzione 10]])</f>
        <v>Le aree funzionali non condividono una logica comune e strategica di flusso</v>
      </c>
    </row>
    <row r="97" spans="1:15" ht="158.4" x14ac:dyDescent="0.3">
      <c r="A97" s="5" t="s">
        <v>568</v>
      </c>
      <c r="B97" s="5" t="s">
        <v>147</v>
      </c>
      <c r="C97" s="5" t="s">
        <v>690</v>
      </c>
      <c r="D97" s="5" t="s">
        <v>713</v>
      </c>
      <c r="E97" s="5" t="s">
        <v>506</v>
      </c>
      <c r="F97" s="5" t="s">
        <v>714</v>
      </c>
      <c r="G97" s="5" t="s">
        <v>505</v>
      </c>
      <c r="H97" s="5" t="s">
        <v>145</v>
      </c>
      <c r="I97" s="5" t="s">
        <v>145</v>
      </c>
      <c r="J97" s="5" t="s">
        <v>145</v>
      </c>
      <c r="K97" s="5" t="s">
        <v>145</v>
      </c>
      <c r="L97" s="5" t="s">
        <v>145</v>
      </c>
      <c r="M97" s="5" t="s">
        <v>145</v>
      </c>
      <c r="N97" s="5" t="s">
        <v>506</v>
      </c>
      <c r="O97" s="5" t="str" cm="1">
        <f t="array" ref="O97">_xlfn.XLOOKUP(Tabella2[[#This Row],[Corretta]],Tabella2[[#This Row],[opzione 1]:[opzione 10]],Tabella2[[#This Row],[opzione 1]:[opzione 10]])</f>
        <v>Un esempio di ottimizzazione locale in conflitto con il flusso complessivo</v>
      </c>
    </row>
    <row r="98" spans="1:15" ht="129.6" x14ac:dyDescent="0.3">
      <c r="A98" s="5" t="s">
        <v>568</v>
      </c>
      <c r="B98" s="5" t="s">
        <v>147</v>
      </c>
      <c r="C98" s="5" t="s">
        <v>691</v>
      </c>
      <c r="D98" s="5" t="s">
        <v>715</v>
      </c>
      <c r="E98" s="5" t="s">
        <v>716</v>
      </c>
      <c r="F98" s="5" t="s">
        <v>508</v>
      </c>
      <c r="G98" s="5" t="s">
        <v>507</v>
      </c>
      <c r="H98" s="5" t="s">
        <v>145</v>
      </c>
      <c r="I98" s="5" t="s">
        <v>145</v>
      </c>
      <c r="J98" s="5" t="s">
        <v>145</v>
      </c>
      <c r="K98" s="5" t="s">
        <v>145</v>
      </c>
      <c r="L98" s="5" t="s">
        <v>145</v>
      </c>
      <c r="M98" s="5" t="s">
        <v>145</v>
      </c>
      <c r="N98" s="5" t="s">
        <v>508</v>
      </c>
      <c r="O98" s="5" t="str" cm="1">
        <f t="array" ref="O98">_xlfn.XLOOKUP(Tabella2[[#This Row],[Corretta]],Tabella2[[#This Row],[opzione 1]:[opzione 10]],Tabella2[[#This Row],[opzione 1]:[opzione 10]])</f>
        <v>Il sistema non è strategicamente integrato e le logiche restano in conflitto</v>
      </c>
    </row>
    <row r="99" spans="1:15" ht="129.6" x14ac:dyDescent="0.3">
      <c r="A99" s="5" t="s">
        <v>568</v>
      </c>
      <c r="B99" s="5" t="s">
        <v>147</v>
      </c>
      <c r="C99" s="5" t="s">
        <v>730</v>
      </c>
      <c r="D99" s="5" t="s">
        <v>717</v>
      </c>
      <c r="E99" s="5" t="s">
        <v>718</v>
      </c>
      <c r="F99" s="5" t="s">
        <v>510</v>
      </c>
      <c r="G99" s="5" t="s">
        <v>509</v>
      </c>
      <c r="H99" s="5" t="s">
        <v>145</v>
      </c>
      <c r="I99" s="5" t="s">
        <v>145</v>
      </c>
      <c r="J99" s="5" t="s">
        <v>145</v>
      </c>
      <c r="K99" s="5" t="s">
        <v>145</v>
      </c>
      <c r="L99" s="5" t="s">
        <v>145</v>
      </c>
      <c r="M99" s="5" t="s">
        <v>145</v>
      </c>
      <c r="N99" s="5" t="s">
        <v>510</v>
      </c>
      <c r="O99" s="5" t="str" cm="1">
        <f t="array" ref="O99">_xlfn.XLOOKUP(Tabella2[[#This Row],[Corretta]],Tabella2[[#This Row],[opzione 1]:[opzione 10]],Tabella2[[#This Row],[opzione 1]:[opzione 10]])</f>
        <v>L’obiettivo locale non è coerente con il valore complessivo per il cliente</v>
      </c>
    </row>
    <row r="100" spans="1:15" ht="158.4" x14ac:dyDescent="0.3">
      <c r="A100" s="5" t="s">
        <v>568</v>
      </c>
      <c r="B100" s="5" t="s">
        <v>321</v>
      </c>
      <c r="C100" s="5" t="s">
        <v>741</v>
      </c>
      <c r="D100" s="5" t="s">
        <v>740</v>
      </c>
      <c r="E100" s="5" t="s">
        <v>512</v>
      </c>
      <c r="F100" s="5" t="s">
        <v>742</v>
      </c>
      <c r="G100" s="5" t="s">
        <v>511</v>
      </c>
      <c r="H100" s="5" t="s">
        <v>145</v>
      </c>
      <c r="I100" s="5" t="s">
        <v>145</v>
      </c>
      <c r="J100" s="5" t="s">
        <v>145</v>
      </c>
      <c r="K100" s="5" t="s">
        <v>145</v>
      </c>
      <c r="L100" s="5" t="s">
        <v>145</v>
      </c>
      <c r="M100" s="5" t="s">
        <v>145</v>
      </c>
      <c r="N100" s="5" t="s">
        <v>512</v>
      </c>
      <c r="O100" s="5" t="str" cm="1">
        <f t="array" ref="O100">_xlfn.XLOOKUP(Tabella2[[#This Row],[Corretta]],Tabella2[[#This Row],[opzione 1]:[opzione 10]],Tabella2[[#This Row],[opzione 1]:[opzione 10]])</f>
        <v>Per identificare dove si generano sprechi dovuti a disallineamento tra informazioni e materiali</v>
      </c>
    </row>
    <row r="101" spans="1:15" ht="115.2" x14ac:dyDescent="0.3">
      <c r="A101" s="5" t="s">
        <v>568</v>
      </c>
      <c r="B101" s="5" t="s">
        <v>321</v>
      </c>
      <c r="C101" s="5" t="s">
        <v>789</v>
      </c>
      <c r="D101" s="5" t="s">
        <v>514</v>
      </c>
      <c r="E101" s="5" t="s">
        <v>737</v>
      </c>
      <c r="F101" s="5" t="s">
        <v>736</v>
      </c>
      <c r="G101" s="5" t="s">
        <v>513</v>
      </c>
      <c r="H101" s="5" t="s">
        <v>145</v>
      </c>
      <c r="I101" s="5" t="s">
        <v>145</v>
      </c>
      <c r="J101" s="5" t="s">
        <v>145</v>
      </c>
      <c r="K101" s="5" t="s">
        <v>145</v>
      </c>
      <c r="L101" s="5" t="s">
        <v>145</v>
      </c>
      <c r="M101" s="5" t="s">
        <v>145</v>
      </c>
      <c r="N101" s="5" t="s">
        <v>514</v>
      </c>
      <c r="O101" s="5" t="str" cm="1">
        <f t="array" ref="O101">_xlfn.XLOOKUP(Tabella2[[#This Row],[Corretta]],Tabella2[[#This Row],[opzione 1]:[opzione 10]],Tabella2[[#This Row],[opzione 1]:[opzione 10]])</f>
        <v>Perdere la visione d’insieme e focalizzarsi su ottimizzazioni locali</v>
      </c>
    </row>
    <row r="102" spans="1:15" ht="72" x14ac:dyDescent="0.3">
      <c r="A102" s="5" t="s">
        <v>568</v>
      </c>
      <c r="B102" s="5" t="s">
        <v>321</v>
      </c>
      <c r="C102" s="5" t="s">
        <v>792</v>
      </c>
      <c r="D102" s="5" t="s">
        <v>738</v>
      </c>
      <c r="E102" s="5" t="s">
        <v>739</v>
      </c>
      <c r="F102" s="5" t="s">
        <v>743</v>
      </c>
      <c r="G102" s="5" t="s">
        <v>515</v>
      </c>
      <c r="H102" s="5" t="s">
        <v>145</v>
      </c>
      <c r="I102" s="5" t="s">
        <v>145</v>
      </c>
      <c r="J102" s="5" t="s">
        <v>145</v>
      </c>
      <c r="K102" s="5" t="s">
        <v>145</v>
      </c>
      <c r="L102" s="5" t="s">
        <v>145</v>
      </c>
      <c r="M102" s="5" t="s">
        <v>145</v>
      </c>
      <c r="N102" s="5" t="s">
        <v>743</v>
      </c>
      <c r="O102" s="5" t="str" cm="1">
        <f t="array" ref="O102">_xlfn.XLOOKUP(Tabella2[[#This Row],[Corretta]],Tabella2[[#This Row],[opzione 1]:[opzione 10]],Tabella2[[#This Row],[opzione 1]:[opzione 10]])</f>
        <v>Analizzare dove il processo accumula scorte</v>
      </c>
    </row>
    <row r="103" spans="1:15" ht="129.6" x14ac:dyDescent="0.3">
      <c r="A103" s="5" t="s">
        <v>568</v>
      </c>
      <c r="B103" s="5" t="s">
        <v>321</v>
      </c>
      <c r="C103" s="5" t="s">
        <v>791</v>
      </c>
      <c r="D103" s="5" t="s">
        <v>744</v>
      </c>
      <c r="E103" s="5" t="s">
        <v>517</v>
      </c>
      <c r="F103" s="5" t="s">
        <v>745</v>
      </c>
      <c r="G103" s="5" t="s">
        <v>516</v>
      </c>
      <c r="H103" s="5" t="s">
        <v>145</v>
      </c>
      <c r="I103" s="5" t="s">
        <v>145</v>
      </c>
      <c r="J103" s="5" t="s">
        <v>145</v>
      </c>
      <c r="K103" s="5" t="s">
        <v>145</v>
      </c>
      <c r="L103" s="5" t="s">
        <v>145</v>
      </c>
      <c r="M103" s="5" t="s">
        <v>145</v>
      </c>
      <c r="N103" s="5" t="s">
        <v>517</v>
      </c>
      <c r="O103" s="5" t="str" cm="1">
        <f t="array" ref="O103">_xlfn.XLOOKUP(Tabella2[[#This Row],[Corretta]],Tabella2[[#This Row],[opzione 1]:[opzione 10]],Tabella2[[#This Row],[opzione 1]:[opzione 10]])</f>
        <v>Rende visibile la differenza tra la situazione reale e quella desiderata</v>
      </c>
    </row>
    <row r="104" spans="1:15" ht="28.8" x14ac:dyDescent="0.3">
      <c r="A104" s="5" t="s">
        <v>568</v>
      </c>
      <c r="B104" s="5" t="s">
        <v>321</v>
      </c>
      <c r="C104" s="5" t="s">
        <v>793</v>
      </c>
      <c r="D104" s="5" t="s">
        <v>746</v>
      </c>
      <c r="E104" s="5" t="s">
        <v>747</v>
      </c>
      <c r="F104" s="5" t="s">
        <v>748</v>
      </c>
      <c r="G104" s="5" t="s">
        <v>749</v>
      </c>
      <c r="H104" s="5" t="s">
        <v>751</v>
      </c>
      <c r="I104" s="5" t="s">
        <v>750</v>
      </c>
      <c r="J104" s="5" t="s">
        <v>518</v>
      </c>
      <c r="K104" s="5" t="s">
        <v>145</v>
      </c>
      <c r="L104" s="5" t="s">
        <v>145</v>
      </c>
      <c r="M104" s="5" t="s">
        <v>145</v>
      </c>
      <c r="N104" s="5" t="s">
        <v>752</v>
      </c>
      <c r="O104" s="5" t="e" cm="1">
        <f t="array" ref="O104">_xlfn.XLOOKUP(Tabella2[[#This Row],[Corretta]],Tabella2[[#This Row],[opzione 1]:[opzione 10]],Tabella2[[#This Row],[opzione 1]:[opzione 10]])</f>
        <v>#N/A</v>
      </c>
    </row>
    <row r="105" spans="1:15" ht="86.4" x14ac:dyDescent="0.3">
      <c r="A105" s="5" t="s">
        <v>568</v>
      </c>
      <c r="B105" s="5" t="s">
        <v>321</v>
      </c>
      <c r="C105" s="5" t="s">
        <v>149</v>
      </c>
      <c r="D105" s="5" t="s">
        <v>150</v>
      </c>
      <c r="E105" s="5" t="s">
        <v>151</v>
      </c>
      <c r="F105" s="5" t="s">
        <v>152</v>
      </c>
      <c r="G105" s="5" t="s">
        <v>153</v>
      </c>
      <c r="H105" s="5" t="s">
        <v>154</v>
      </c>
      <c r="I105" s="5" t="s">
        <v>155</v>
      </c>
      <c r="J105" s="5" t="s">
        <v>156</v>
      </c>
      <c r="K105" s="5" t="s">
        <v>157</v>
      </c>
      <c r="L105" s="5" t="s">
        <v>158</v>
      </c>
      <c r="M105" s="5" t="s">
        <v>145</v>
      </c>
      <c r="N105" s="5" t="s">
        <v>159</v>
      </c>
      <c r="O105" s="5" t="e" cm="1">
        <f t="array" ref="O105">_xlfn.XLOOKUP(Tabella2[[#This Row],[Corretta]],Tabella2[[#This Row],[opzione 1]:[opzione 10]],Tabella2[[#This Row],[opzione 1]:[opzione 10]])</f>
        <v>#N/A</v>
      </c>
    </row>
    <row r="106" spans="1:15" ht="86.4" x14ac:dyDescent="0.3">
      <c r="A106" s="5" t="s">
        <v>568</v>
      </c>
      <c r="B106" s="5" t="s">
        <v>321</v>
      </c>
      <c r="C106" s="5" t="s">
        <v>356</v>
      </c>
      <c r="D106" s="5" t="s">
        <v>150</v>
      </c>
      <c r="E106" s="5" t="s">
        <v>151</v>
      </c>
      <c r="F106" s="5" t="s">
        <v>152</v>
      </c>
      <c r="G106" s="5" t="s">
        <v>153</v>
      </c>
      <c r="H106" s="5" t="s">
        <v>154</v>
      </c>
      <c r="I106" s="5" t="s">
        <v>155</v>
      </c>
      <c r="J106" s="5" t="s">
        <v>156</v>
      </c>
      <c r="K106" s="5" t="s">
        <v>157</v>
      </c>
      <c r="L106" s="5" t="s">
        <v>158</v>
      </c>
      <c r="M106" s="5" t="s">
        <v>145</v>
      </c>
      <c r="N106" s="5" t="s">
        <v>160</v>
      </c>
      <c r="O106" s="5" t="e" cm="1">
        <f t="array" ref="O106">_xlfn.XLOOKUP(Tabella2[[#This Row],[Corretta]],Tabella2[[#This Row],[opzione 1]:[opzione 10]],Tabella2[[#This Row],[opzione 1]:[opzione 10]])</f>
        <v>#N/A</v>
      </c>
    </row>
    <row r="107" spans="1:15" ht="86.4" x14ac:dyDescent="0.3">
      <c r="A107" s="5" t="s">
        <v>568</v>
      </c>
      <c r="B107" s="5" t="s">
        <v>321</v>
      </c>
      <c r="C107" s="5" t="s">
        <v>161</v>
      </c>
      <c r="D107" s="5" t="s">
        <v>150</v>
      </c>
      <c r="E107" s="5" t="s">
        <v>151</v>
      </c>
      <c r="F107" s="5" t="s">
        <v>152</v>
      </c>
      <c r="G107" s="5" t="s">
        <v>153</v>
      </c>
      <c r="H107" s="5" t="s">
        <v>154</v>
      </c>
      <c r="I107" s="5" t="s">
        <v>155</v>
      </c>
      <c r="J107" s="5" t="s">
        <v>156</v>
      </c>
      <c r="K107" s="5" t="s">
        <v>157</v>
      </c>
      <c r="L107" s="5" t="s">
        <v>158</v>
      </c>
      <c r="M107" s="5" t="s">
        <v>145</v>
      </c>
      <c r="N107" s="5" t="s">
        <v>162</v>
      </c>
      <c r="O107" s="5" t="e" cm="1">
        <f t="array" ref="O107">_xlfn.XLOOKUP(Tabella2[[#This Row],[Corretta]],Tabella2[[#This Row],[opzione 1]:[opzione 10]],Tabella2[[#This Row],[opzione 1]:[opzione 10]])</f>
        <v>#N/A</v>
      </c>
    </row>
    <row r="108" spans="1:15" ht="72" x14ac:dyDescent="0.3">
      <c r="A108" s="5" t="s">
        <v>568</v>
      </c>
      <c r="B108" s="5" t="s">
        <v>321</v>
      </c>
      <c r="C108" s="5" t="s">
        <v>794</v>
      </c>
      <c r="D108" s="5" t="s">
        <v>163</v>
      </c>
      <c r="E108" s="5" t="s">
        <v>164</v>
      </c>
      <c r="F108" s="5" t="s">
        <v>165</v>
      </c>
      <c r="G108" s="5" t="s">
        <v>166</v>
      </c>
      <c r="H108" s="5" t="s">
        <v>167</v>
      </c>
      <c r="I108" s="5" t="s">
        <v>145</v>
      </c>
      <c r="J108" s="5" t="s">
        <v>145</v>
      </c>
      <c r="K108" s="5" t="s">
        <v>145</v>
      </c>
      <c r="L108" s="5" t="s">
        <v>145</v>
      </c>
      <c r="M108" s="5" t="s">
        <v>145</v>
      </c>
      <c r="N108" s="5" t="s">
        <v>163</v>
      </c>
      <c r="O108" s="5" t="str" cm="1">
        <f t="array" ref="O108">_xlfn.XLOOKUP(Tabella2[[#This Row],[Corretta]],Tabella2[[#This Row],[opzione 1]:[opzione 10]],Tabella2[[#This Row],[opzione 1]:[opzione 10]])</f>
        <v>Disegnare la domanda del processo</v>
      </c>
    </row>
    <row r="109" spans="1:15" ht="43.2" x14ac:dyDescent="0.3">
      <c r="A109" s="5" t="s">
        <v>568</v>
      </c>
      <c r="B109" s="5" t="s">
        <v>321</v>
      </c>
      <c r="C109" s="5" t="s">
        <v>795</v>
      </c>
      <c r="D109" s="5" t="s">
        <v>163</v>
      </c>
      <c r="E109" s="5" t="s">
        <v>164</v>
      </c>
      <c r="F109" s="5" t="s">
        <v>165</v>
      </c>
      <c r="G109" s="5" t="s">
        <v>166</v>
      </c>
      <c r="H109" s="5" t="s">
        <v>167</v>
      </c>
      <c r="I109" s="5" t="s">
        <v>145</v>
      </c>
      <c r="J109" s="5" t="s">
        <v>145</v>
      </c>
      <c r="K109" s="5" t="s">
        <v>145</v>
      </c>
      <c r="L109" s="5" t="s">
        <v>145</v>
      </c>
      <c r="M109" s="5" t="s">
        <v>145</v>
      </c>
      <c r="N109" s="5" t="s">
        <v>164</v>
      </c>
      <c r="O109" s="5" t="str" cm="1">
        <f t="array" ref="O109">_xlfn.XLOOKUP(Tabella2[[#This Row],[Corretta]],Tabella2[[#This Row],[opzione 1]:[opzione 10]],Tabella2[[#This Row],[opzione 1]:[opzione 10]])</f>
        <v>Mappare le fasi e gli stock</v>
      </c>
    </row>
    <row r="110" spans="1:15" ht="43.2" x14ac:dyDescent="0.3">
      <c r="A110" s="5" t="s">
        <v>568</v>
      </c>
      <c r="B110" s="5" t="s">
        <v>321</v>
      </c>
      <c r="C110" s="5" t="s">
        <v>796</v>
      </c>
      <c r="D110" s="5" t="s">
        <v>163</v>
      </c>
      <c r="E110" s="5" t="s">
        <v>164</v>
      </c>
      <c r="F110" s="5" t="s">
        <v>165</v>
      </c>
      <c r="G110" s="5" t="s">
        <v>166</v>
      </c>
      <c r="H110" s="5" t="s">
        <v>167</v>
      </c>
      <c r="I110" s="5" t="s">
        <v>145</v>
      </c>
      <c r="J110" s="5" t="s">
        <v>145</v>
      </c>
      <c r="K110" s="5" t="s">
        <v>145</v>
      </c>
      <c r="L110" s="5" t="s">
        <v>145</v>
      </c>
      <c r="M110" s="5" t="s">
        <v>145</v>
      </c>
      <c r="N110" s="5" t="s">
        <v>165</v>
      </c>
      <c r="O110" s="5" t="str" cm="1">
        <f t="array" ref="O110">_xlfn.XLOOKUP(Tabella2[[#This Row],[Corretta]],Tabella2[[#This Row],[opzione 1]:[opzione 10]],Tabella2[[#This Row],[opzione 1]:[opzione 10]])</f>
        <v>Inserire e popolare i data box</v>
      </c>
    </row>
    <row r="111" spans="1:15" ht="57.6" x14ac:dyDescent="0.3">
      <c r="A111" s="5" t="s">
        <v>568</v>
      </c>
      <c r="B111" s="5" t="s">
        <v>321</v>
      </c>
      <c r="C111" s="5" t="s">
        <v>797</v>
      </c>
      <c r="D111" s="5" t="s">
        <v>163</v>
      </c>
      <c r="E111" s="5" t="s">
        <v>164</v>
      </c>
      <c r="F111" s="5" t="s">
        <v>165</v>
      </c>
      <c r="G111" s="5" t="s">
        <v>166</v>
      </c>
      <c r="H111" s="5" t="s">
        <v>167</v>
      </c>
      <c r="I111" s="5" t="s">
        <v>145</v>
      </c>
      <c r="J111" s="5" t="s">
        <v>145</v>
      </c>
      <c r="K111" s="5" t="s">
        <v>145</v>
      </c>
      <c r="L111" s="5" t="s">
        <v>145</v>
      </c>
      <c r="M111" s="5" t="s">
        <v>145</v>
      </c>
      <c r="N111" s="5" t="s">
        <v>166</v>
      </c>
      <c r="O111" s="5" t="str" cm="1">
        <f t="array" ref="O111">_xlfn.XLOOKUP(Tabella2[[#This Row],[Corretta]],Tabella2[[#This Row],[opzione 1]:[opzione 10]],Tabella2[[#This Row],[opzione 1]:[opzione 10]])</f>
        <v>Disegnare i flussi informativi</v>
      </c>
    </row>
    <row r="112" spans="1:15" ht="72" x14ac:dyDescent="0.3">
      <c r="A112" s="5" t="s">
        <v>568</v>
      </c>
      <c r="B112" s="5" t="s">
        <v>321</v>
      </c>
      <c r="C112" s="5" t="s">
        <v>798</v>
      </c>
      <c r="D112" s="5" t="s">
        <v>163</v>
      </c>
      <c r="E112" s="5" t="s">
        <v>164</v>
      </c>
      <c r="F112" s="5" t="s">
        <v>165</v>
      </c>
      <c r="G112" s="5" t="s">
        <v>166</v>
      </c>
      <c r="H112" s="5" t="s">
        <v>167</v>
      </c>
      <c r="I112" s="5" t="s">
        <v>145</v>
      </c>
      <c r="J112" s="5" t="s">
        <v>145</v>
      </c>
      <c r="K112" s="5" t="s">
        <v>145</v>
      </c>
      <c r="L112" s="5" t="s">
        <v>145</v>
      </c>
      <c r="M112" s="5" t="s">
        <v>145</v>
      </c>
      <c r="N112" s="5" t="s">
        <v>167</v>
      </c>
      <c r="O112" s="5" t="str" cm="1">
        <f t="array" ref="O112">_xlfn.XLOOKUP(Tabella2[[#This Row],[Corretta]],Tabella2[[#This Row],[opzione 1]:[opzione 10]],Tabella2[[#This Row],[opzione 1]:[opzione 10]])</f>
        <v>Rappresentare la mappatura con la timeline</v>
      </c>
    </row>
    <row r="113" spans="1:15" ht="28.8" x14ac:dyDescent="0.3">
      <c r="A113" s="5" t="s">
        <v>568</v>
      </c>
      <c r="B113" s="5" t="s">
        <v>321</v>
      </c>
      <c r="C113" s="5" t="s">
        <v>357</v>
      </c>
      <c r="D113" s="5" t="s">
        <v>168</v>
      </c>
      <c r="E113" s="5" t="s">
        <v>169</v>
      </c>
      <c r="F113" s="5" t="s">
        <v>170</v>
      </c>
      <c r="G113" s="5" t="s">
        <v>171</v>
      </c>
      <c r="H113" s="5" t="s">
        <v>145</v>
      </c>
      <c r="I113" s="5" t="s">
        <v>145</v>
      </c>
      <c r="J113" s="5" t="s">
        <v>145</v>
      </c>
      <c r="K113" s="5" t="s">
        <v>145</v>
      </c>
      <c r="L113" s="5" t="s">
        <v>145</v>
      </c>
      <c r="M113" s="5" t="s">
        <v>145</v>
      </c>
      <c r="N113" s="5" t="s">
        <v>168</v>
      </c>
      <c r="O113" s="5" t="str" cm="1">
        <f t="array" ref="O113">_xlfn.XLOOKUP(Tabella2[[#This Row],[Corretta]],Tabella2[[#This Row],[opzione 1]:[opzione 10]],Tabella2[[#This Row],[opzione 1]:[opzione 10]])</f>
        <v>0,8h/lavatrice</v>
      </c>
    </row>
    <row r="114" spans="1:15" ht="28.8" x14ac:dyDescent="0.3">
      <c r="A114" s="5" t="s">
        <v>568</v>
      </c>
      <c r="B114" s="5" t="s">
        <v>321</v>
      </c>
      <c r="C114" s="5" t="s">
        <v>358</v>
      </c>
      <c r="D114" s="5" t="s">
        <v>168</v>
      </c>
      <c r="E114" s="5" t="s">
        <v>169</v>
      </c>
      <c r="F114" s="5" t="s">
        <v>170</v>
      </c>
      <c r="G114" s="5" t="s">
        <v>171</v>
      </c>
      <c r="H114" s="5" t="s">
        <v>145</v>
      </c>
      <c r="I114" s="5" t="s">
        <v>145</v>
      </c>
      <c r="J114" s="5" t="s">
        <v>145</v>
      </c>
      <c r="K114" s="5" t="s">
        <v>145</v>
      </c>
      <c r="L114" s="5" t="s">
        <v>145</v>
      </c>
      <c r="M114" s="5" t="s">
        <v>145</v>
      </c>
      <c r="N114" s="5" t="s">
        <v>169</v>
      </c>
      <c r="O114" s="5" t="str" cm="1">
        <f t="array" ref="O114">_xlfn.XLOOKUP(Tabella2[[#This Row],[Corretta]],Tabella2[[#This Row],[opzione 1]:[opzione 10]],Tabella2[[#This Row],[opzione 1]:[opzione 10]])</f>
        <v>1,6h/lavatrice</v>
      </c>
    </row>
    <row r="115" spans="1:15" ht="43.2" x14ac:dyDescent="0.3">
      <c r="A115" s="5" t="s">
        <v>568</v>
      </c>
      <c r="B115" s="5" t="s">
        <v>321</v>
      </c>
      <c r="C115" s="5" t="s">
        <v>799</v>
      </c>
      <c r="D115" s="5" t="s">
        <v>172</v>
      </c>
      <c r="E115" s="5" t="s">
        <v>173</v>
      </c>
      <c r="F115" s="5" t="s">
        <v>174</v>
      </c>
      <c r="G115" s="5" t="s">
        <v>175</v>
      </c>
      <c r="H115" s="5" t="s">
        <v>145</v>
      </c>
      <c r="I115" s="5" t="s">
        <v>145</v>
      </c>
      <c r="J115" s="5" t="s">
        <v>145</v>
      </c>
      <c r="K115" s="5" t="s">
        <v>145</v>
      </c>
      <c r="L115" s="5" t="s">
        <v>145</v>
      </c>
      <c r="M115" s="5" t="s">
        <v>145</v>
      </c>
      <c r="N115" s="5" t="s">
        <v>173</v>
      </c>
      <c r="O115" s="5" t="str" cm="1">
        <f t="array" ref="O115">_xlfn.XLOOKUP(Tabella2[[#This Row],[Corretta]],Tabella2[[#This Row],[opzione 1]:[opzione 10]],Tabella2[[#This Row],[opzione 1]:[opzione 10]])</f>
        <v>13 giorni</v>
      </c>
    </row>
    <row r="116" spans="1:15" ht="43.2" x14ac:dyDescent="0.3">
      <c r="A116" s="5" t="s">
        <v>568</v>
      </c>
      <c r="B116" s="5" t="s">
        <v>321</v>
      </c>
      <c r="C116" s="5" t="s">
        <v>810</v>
      </c>
      <c r="D116" s="5" t="s">
        <v>172</v>
      </c>
      <c r="E116" s="5" t="s">
        <v>173</v>
      </c>
      <c r="F116" s="5" t="s">
        <v>174</v>
      </c>
      <c r="G116" s="5" t="s">
        <v>175</v>
      </c>
      <c r="H116" s="5" t="s">
        <v>145</v>
      </c>
      <c r="I116" s="5" t="s">
        <v>145</v>
      </c>
      <c r="J116" s="5" t="s">
        <v>145</v>
      </c>
      <c r="K116" s="5" t="s">
        <v>145</v>
      </c>
      <c r="L116" s="5" t="s">
        <v>145</v>
      </c>
      <c r="M116" s="5" t="s">
        <v>145</v>
      </c>
      <c r="N116" s="5" t="s">
        <v>172</v>
      </c>
      <c r="O116" s="5" t="str" cm="1">
        <f t="array" ref="O116">_xlfn.XLOOKUP(Tabella2[[#This Row],[Corretta]],Tabella2[[#This Row],[opzione 1]:[opzione 10]],Tabella2[[#This Row],[opzione 1]:[opzione 10]])</f>
        <v>5 giorni</v>
      </c>
    </row>
    <row r="117" spans="1:15" ht="43.2" x14ac:dyDescent="0.3">
      <c r="A117" s="5" t="s">
        <v>568</v>
      </c>
      <c r="B117" s="5" t="s">
        <v>321</v>
      </c>
      <c r="C117" s="5" t="s">
        <v>803</v>
      </c>
      <c r="D117" s="5" t="s">
        <v>176</v>
      </c>
      <c r="E117" s="5" t="s">
        <v>177</v>
      </c>
      <c r="F117" s="5" t="s">
        <v>178</v>
      </c>
      <c r="G117" s="5" t="s">
        <v>359</v>
      </c>
      <c r="H117" s="5" t="s">
        <v>145</v>
      </c>
      <c r="I117" s="5" t="s">
        <v>145</v>
      </c>
      <c r="J117" s="5" t="s">
        <v>145</v>
      </c>
      <c r="K117" s="5" t="s">
        <v>145</v>
      </c>
      <c r="L117" s="5" t="s">
        <v>145</v>
      </c>
      <c r="M117" s="5" t="s">
        <v>145</v>
      </c>
      <c r="N117" s="5" t="s">
        <v>359</v>
      </c>
      <c r="O117" s="5" t="str" cm="1">
        <f t="array" ref="O117">_xlfn.XLOOKUP(Tabella2[[#This Row],[Corretta]],Tabella2[[#This Row],[opzione 1]:[opzione 10]],Tabella2[[#This Row],[opzione 1]:[opzione 10]])</f>
        <v>Non è calcolabile</v>
      </c>
    </row>
    <row r="118" spans="1:15" ht="28.8" x14ac:dyDescent="0.3">
      <c r="A118" s="5" t="s">
        <v>568</v>
      </c>
      <c r="B118" s="5" t="s">
        <v>321</v>
      </c>
      <c r="C118" s="5" t="s">
        <v>807</v>
      </c>
      <c r="D118" s="5" t="s">
        <v>179</v>
      </c>
      <c r="E118" s="5" t="s">
        <v>180</v>
      </c>
      <c r="F118" s="5" t="s">
        <v>181</v>
      </c>
      <c r="G118" s="5" t="s">
        <v>182</v>
      </c>
      <c r="H118" s="5" t="s">
        <v>145</v>
      </c>
      <c r="I118" s="5" t="s">
        <v>145</v>
      </c>
      <c r="J118" s="5" t="s">
        <v>145</v>
      </c>
      <c r="K118" s="5" t="s">
        <v>145</v>
      </c>
      <c r="L118" s="5" t="s">
        <v>145</v>
      </c>
      <c r="M118" s="5" t="s">
        <v>145</v>
      </c>
      <c r="N118" s="5" t="s">
        <v>182</v>
      </c>
      <c r="O118" s="5" t="str" cm="1">
        <f t="array" ref="O118">_xlfn.XLOOKUP(Tabella2[[#This Row],[Corretta]],Tabella2[[#This Row],[opzione 1]:[opzione 10]],Tabella2[[#This Row],[opzione 1]:[opzione 10]])</f>
        <v>3,3sec/pz</v>
      </c>
    </row>
    <row r="119" spans="1:15" ht="28.8" x14ac:dyDescent="0.3">
      <c r="A119" s="5" t="s">
        <v>568</v>
      </c>
      <c r="B119" s="5" t="s">
        <v>321</v>
      </c>
      <c r="C119" s="5" t="s">
        <v>808</v>
      </c>
      <c r="D119" s="5" t="s">
        <v>183</v>
      </c>
      <c r="E119" s="5" t="s">
        <v>184</v>
      </c>
      <c r="F119" s="5" t="s">
        <v>185</v>
      </c>
      <c r="G119" s="5" t="s">
        <v>186</v>
      </c>
      <c r="H119" s="5" t="s">
        <v>145</v>
      </c>
      <c r="I119" s="5" t="s">
        <v>145</v>
      </c>
      <c r="J119" s="5" t="s">
        <v>145</v>
      </c>
      <c r="K119" s="5" t="s">
        <v>145</v>
      </c>
      <c r="L119" s="5" t="s">
        <v>145</v>
      </c>
      <c r="M119" s="5" t="s">
        <v>145</v>
      </c>
      <c r="N119" s="5" t="s">
        <v>186</v>
      </c>
      <c r="O119" s="5" t="str" cm="1">
        <f t="array" ref="O119">_xlfn.XLOOKUP(Tabella2[[#This Row],[Corretta]],Tabella2[[#This Row],[opzione 1]:[opzione 10]],Tabella2[[#This Row],[opzione 1]:[opzione 10]])</f>
        <v>5,2sec/pz</v>
      </c>
    </row>
    <row r="120" spans="1:15" ht="28.8" x14ac:dyDescent="0.3">
      <c r="A120" s="5" t="s">
        <v>568</v>
      </c>
      <c r="B120" s="5" t="s">
        <v>321</v>
      </c>
      <c r="C120" s="5" t="s">
        <v>809</v>
      </c>
      <c r="D120" s="5" t="s">
        <v>187</v>
      </c>
      <c r="E120" s="5" t="s">
        <v>188</v>
      </c>
      <c r="F120" s="5" t="s">
        <v>189</v>
      </c>
      <c r="G120" s="5" t="s">
        <v>190</v>
      </c>
      <c r="H120" s="5" t="s">
        <v>145</v>
      </c>
      <c r="I120" s="5" t="s">
        <v>145</v>
      </c>
      <c r="J120" s="5" t="s">
        <v>145</v>
      </c>
      <c r="K120" s="5" t="s">
        <v>145</v>
      </c>
      <c r="L120" s="5" t="s">
        <v>145</v>
      </c>
      <c r="M120" s="5" t="s">
        <v>145</v>
      </c>
      <c r="N120" s="5" t="s">
        <v>190</v>
      </c>
      <c r="O120" s="5" t="str" cm="1">
        <f t="array" ref="O120">_xlfn.XLOOKUP(Tabella2[[#This Row],[Corretta]],Tabella2[[#This Row],[opzione 1]:[opzione 10]],Tabella2[[#This Row],[opzione 1]:[opzione 10]])</f>
        <v>1,5sec/pz</v>
      </c>
    </row>
    <row r="121" spans="1:15" ht="129.6" x14ac:dyDescent="0.3">
      <c r="A121" s="5" t="s">
        <v>568</v>
      </c>
      <c r="B121" s="5" t="s">
        <v>113</v>
      </c>
      <c r="C121" s="5" t="s">
        <v>545</v>
      </c>
      <c r="D121" s="5" t="s">
        <v>759</v>
      </c>
      <c r="E121" s="5" t="s">
        <v>520</v>
      </c>
      <c r="F121" s="5" t="s">
        <v>758</v>
      </c>
      <c r="G121" s="5" t="s">
        <v>519</v>
      </c>
      <c r="H121" s="5" t="s">
        <v>145</v>
      </c>
      <c r="I121" s="5" t="s">
        <v>145</v>
      </c>
      <c r="J121" s="5" t="s">
        <v>145</v>
      </c>
      <c r="K121" s="5" t="s">
        <v>145</v>
      </c>
      <c r="L121" s="5" t="s">
        <v>145</v>
      </c>
      <c r="M121" s="5" t="s">
        <v>145</v>
      </c>
      <c r="N121" s="5" t="s">
        <v>520</v>
      </c>
      <c r="O121" s="5" t="str" cm="1">
        <f t="array" ref="O121">_xlfn.XLOOKUP(Tabella2[[#This Row],[Corretta]],Tabella2[[#This Row],[opzione 1]:[opzione 10]],Tabella2[[#This Row],[opzione 1]:[opzione 10]])</f>
        <v>Separare ciò che serve da ciò che non serve, eliminando il superfluo</v>
      </c>
    </row>
    <row r="122" spans="1:15" ht="144" x14ac:dyDescent="0.3">
      <c r="A122" s="5" t="s">
        <v>568</v>
      </c>
      <c r="B122" s="5" t="s">
        <v>113</v>
      </c>
      <c r="C122" s="5" t="s">
        <v>535</v>
      </c>
      <c r="D122" s="5" t="s">
        <v>522</v>
      </c>
      <c r="E122" s="5" t="s">
        <v>760</v>
      </c>
      <c r="F122" s="5" t="s">
        <v>761</v>
      </c>
      <c r="G122" s="5" t="s">
        <v>521</v>
      </c>
      <c r="H122" s="5" t="s">
        <v>145</v>
      </c>
      <c r="I122" s="5" t="s">
        <v>145</v>
      </c>
      <c r="J122" s="5" t="s">
        <v>145</v>
      </c>
      <c r="K122" s="5" t="s">
        <v>145</v>
      </c>
      <c r="L122" s="5" t="s">
        <v>145</v>
      </c>
      <c r="M122" s="5" t="s">
        <v>145</v>
      </c>
      <c r="N122" s="5" t="s">
        <v>522</v>
      </c>
      <c r="O122" s="5" t="str" cm="1">
        <f t="array" ref="O122">_xlfn.XLOOKUP(Tabella2[[#This Row],[Corretta]],Tabella2[[#This Row],[opzione 1]:[opzione 10]],Tabella2[[#This Row],[opzione 1]:[opzione 10]])</f>
        <v>Ordinare le cose in modo che siano sempre facili da trovare e rimettere al loro posto</v>
      </c>
    </row>
    <row r="123" spans="1:15" ht="86.4" x14ac:dyDescent="0.3">
      <c r="A123" s="5" t="s">
        <v>568</v>
      </c>
      <c r="B123" s="5" t="s">
        <v>113</v>
      </c>
      <c r="C123" s="5" t="s">
        <v>536</v>
      </c>
      <c r="D123" s="5" t="s">
        <v>763</v>
      </c>
      <c r="E123" s="5" t="s">
        <v>524</v>
      </c>
      <c r="F123" s="5" t="s">
        <v>762</v>
      </c>
      <c r="G123" s="5" t="s">
        <v>523</v>
      </c>
      <c r="H123" s="5" t="s">
        <v>145</v>
      </c>
      <c r="I123" s="5" t="s">
        <v>145</v>
      </c>
      <c r="J123" s="5" t="s">
        <v>145</v>
      </c>
      <c r="K123" s="5" t="s">
        <v>145</v>
      </c>
      <c r="L123" s="5" t="s">
        <v>145</v>
      </c>
      <c r="M123" s="5" t="s">
        <v>145</v>
      </c>
      <c r="N123" s="5" t="s">
        <v>524</v>
      </c>
      <c r="O123" s="5" t="str" cm="1">
        <f t="array" ref="O123">_xlfn.XLOOKUP(Tabella2[[#This Row],[Corretta]],Tabella2[[#This Row],[opzione 1]:[opzione 10]],Tabella2[[#This Row],[opzione 1]:[opzione 10]])</f>
        <v>Pulire le aree di lavoro per prevenire difetti e problemi</v>
      </c>
    </row>
    <row r="124" spans="1:15" ht="100.8" x14ac:dyDescent="0.3">
      <c r="A124" s="5" t="s">
        <v>568</v>
      </c>
      <c r="B124" s="5" t="s">
        <v>113</v>
      </c>
      <c r="C124" s="5" t="s">
        <v>537</v>
      </c>
      <c r="D124" s="5" t="s">
        <v>525</v>
      </c>
      <c r="E124" s="5" t="s">
        <v>765</v>
      </c>
      <c r="F124" s="5" t="s">
        <v>764</v>
      </c>
      <c r="G124" s="5" t="s">
        <v>538</v>
      </c>
      <c r="H124" s="5" t="s">
        <v>145</v>
      </c>
      <c r="I124" s="5" t="s">
        <v>145</v>
      </c>
      <c r="J124" s="5" t="s">
        <v>145</v>
      </c>
      <c r="K124" s="5" t="s">
        <v>145</v>
      </c>
      <c r="L124" s="5" t="s">
        <v>145</v>
      </c>
      <c r="M124" s="5" t="s">
        <v>145</v>
      </c>
      <c r="N124" s="5" t="s">
        <v>525</v>
      </c>
      <c r="O124" s="5" t="str" cm="1">
        <f t="array" ref="O124">_xlfn.XLOOKUP(Tabella2[[#This Row],[Corretta]],Tabella2[[#This Row],[opzione 1]:[opzione 10]],Tabella2[[#This Row],[opzione 1]:[opzione 10]])</f>
        <v>Stabilire regole comuni e visibili per garantire ordine e pulizia</v>
      </c>
    </row>
    <row r="125" spans="1:15" ht="187.2" x14ac:dyDescent="0.3">
      <c r="A125" s="5" t="s">
        <v>568</v>
      </c>
      <c r="B125" s="5" t="s">
        <v>113</v>
      </c>
      <c r="C125" s="5" t="s">
        <v>539</v>
      </c>
      <c r="D125" s="5" t="s">
        <v>540</v>
      </c>
      <c r="E125" s="5" t="s">
        <v>526</v>
      </c>
      <c r="F125" s="5" t="s">
        <v>528</v>
      </c>
      <c r="G125" s="5" t="s">
        <v>527</v>
      </c>
      <c r="H125" s="5" t="s">
        <v>145</v>
      </c>
      <c r="I125" s="5" t="s">
        <v>145</v>
      </c>
      <c r="J125" s="5" t="s">
        <v>145</v>
      </c>
      <c r="K125" s="5" t="s">
        <v>145</v>
      </c>
      <c r="L125" s="5" t="s">
        <v>145</v>
      </c>
      <c r="M125" s="5" t="s">
        <v>145</v>
      </c>
      <c r="N125" s="5" t="s">
        <v>528</v>
      </c>
      <c r="O125" s="5" t="str" cm="1">
        <f t="array" ref="O125">_xlfn.XLOOKUP(Tabella2[[#This Row],[Corretta]],Tabella2[[#This Row],[opzione 1]:[opzione 10]],Tabella2[[#This Row],[opzione 1]:[opzione 10]])</f>
        <v>Promuovere la responsabilità individuale e collettiva sulle buone pratiche precedentemente definite</v>
      </c>
    </row>
    <row r="126" spans="1:15" ht="72" x14ac:dyDescent="0.3">
      <c r="A126" s="5" t="s">
        <v>568</v>
      </c>
      <c r="B126" s="5" t="s">
        <v>113</v>
      </c>
      <c r="C126" s="5" t="s">
        <v>692</v>
      </c>
      <c r="D126" s="5" t="s">
        <v>529</v>
      </c>
      <c r="E126" s="5" t="s">
        <v>191</v>
      </c>
      <c r="F126" s="5" t="s">
        <v>192</v>
      </c>
      <c r="G126" s="5" t="s">
        <v>193</v>
      </c>
      <c r="H126" s="5" t="s">
        <v>145</v>
      </c>
      <c r="I126" s="5" t="s">
        <v>145</v>
      </c>
      <c r="J126" s="5" t="s">
        <v>145</v>
      </c>
      <c r="K126" s="5" t="s">
        <v>145</v>
      </c>
      <c r="L126" s="5" t="s">
        <v>145</v>
      </c>
      <c r="M126" s="5" t="s">
        <v>145</v>
      </c>
      <c r="N126" s="5" t="s">
        <v>192</v>
      </c>
      <c r="O126" s="5" t="str" cm="1">
        <f t="array" ref="O126">_xlfn.XLOOKUP(Tabella2[[#This Row],[Corretta]],Tabella2[[#This Row],[opzione 1]:[opzione 10]],Tabella2[[#This Row],[opzione 1]:[opzione 10]])</f>
        <v>Si compromette la standardizzazione</v>
      </c>
    </row>
    <row r="127" spans="1:15" ht="115.2" x14ac:dyDescent="0.3">
      <c r="A127" s="5" t="s">
        <v>568</v>
      </c>
      <c r="B127" s="5" t="s">
        <v>113</v>
      </c>
      <c r="C127" s="5" t="s">
        <v>543</v>
      </c>
      <c r="D127" s="5" t="s">
        <v>194</v>
      </c>
      <c r="E127" s="5" t="s">
        <v>195</v>
      </c>
      <c r="F127" s="5" t="s">
        <v>196</v>
      </c>
      <c r="G127" s="5" t="s">
        <v>197</v>
      </c>
      <c r="H127" s="5" t="s">
        <v>145</v>
      </c>
      <c r="I127" s="5" t="s">
        <v>145</v>
      </c>
      <c r="J127" s="5" t="s">
        <v>145</v>
      </c>
      <c r="K127" s="5" t="s">
        <v>145</v>
      </c>
      <c r="L127" s="5" t="s">
        <v>145</v>
      </c>
      <c r="M127" s="5" t="s">
        <v>145</v>
      </c>
      <c r="N127" s="5" t="s">
        <v>195</v>
      </c>
      <c r="O127" s="5" t="str" cm="1">
        <f t="array" ref="O127">_xlfn.XLOOKUP(Tabella2[[#This Row],[Corretta]],Tabella2[[#This Row],[opzione 1]:[opzione 10]],Tabella2[[#This Row],[opzione 1]:[opzione 10]])</f>
        <v>Si perde la possibilità di individuare anomalie e difetti</v>
      </c>
    </row>
    <row r="128" spans="1:15" ht="129.6" x14ac:dyDescent="0.3">
      <c r="A128" s="5" t="s">
        <v>568</v>
      </c>
      <c r="B128" s="5" t="s">
        <v>113</v>
      </c>
      <c r="C128" s="5" t="s">
        <v>546</v>
      </c>
      <c r="D128" s="5" t="s">
        <v>542</v>
      </c>
      <c r="E128" s="5" t="s">
        <v>198</v>
      </c>
      <c r="F128" s="5" t="s">
        <v>199</v>
      </c>
      <c r="G128" s="5" t="s">
        <v>200</v>
      </c>
      <c r="H128" s="5" t="s">
        <v>145</v>
      </c>
      <c r="I128" s="5" t="s">
        <v>145</v>
      </c>
      <c r="J128" s="5" t="s">
        <v>145</v>
      </c>
      <c r="K128" s="5" t="s">
        <v>145</v>
      </c>
      <c r="L128" s="5" t="s">
        <v>145</v>
      </c>
      <c r="M128" s="5" t="s">
        <v>145</v>
      </c>
      <c r="N128" s="5" t="s">
        <v>198</v>
      </c>
      <c r="O128" s="5" t="str" cm="1">
        <f t="array" ref="O128">_xlfn.XLOOKUP(Tabella2[[#This Row],[Corretta]],Tabella2[[#This Row],[opzione 1]:[opzione 10]],Tabella2[[#This Row],[opzione 1]:[opzione 10]])</f>
        <v>Si rischia di inibire la responsabilizzazione spontanea delle persone</v>
      </c>
    </row>
    <row r="129" spans="1:15" ht="57.6" x14ac:dyDescent="0.3">
      <c r="A129" s="5" t="s">
        <v>568</v>
      </c>
      <c r="B129" s="5" t="s">
        <v>113</v>
      </c>
      <c r="C129" s="5" t="s">
        <v>544</v>
      </c>
      <c r="D129" s="5" t="s">
        <v>541</v>
      </c>
      <c r="E129" s="5" t="s">
        <v>201</v>
      </c>
      <c r="F129" s="5" t="s">
        <v>202</v>
      </c>
      <c r="G129" s="5" t="s">
        <v>203</v>
      </c>
      <c r="H129" s="5" t="s">
        <v>145</v>
      </c>
      <c r="I129" s="5" t="s">
        <v>145</v>
      </c>
      <c r="J129" s="5" t="s">
        <v>145</v>
      </c>
      <c r="K129" s="5" t="s">
        <v>145</v>
      </c>
      <c r="L129" s="5" t="s">
        <v>145</v>
      </c>
      <c r="M129" s="5" t="s">
        <v>145</v>
      </c>
      <c r="N129" s="5" t="s">
        <v>203</v>
      </c>
      <c r="O129" s="5" t="str" cm="1">
        <f t="array" ref="O129">_xlfn.XLOOKUP(Tabella2[[#This Row],[Corretta]],Tabella2[[#This Row],[opzione 1]:[opzione 10]],Tabella2[[#This Row],[opzione 1]:[opzione 10]])</f>
        <v>Nessuna delle precedenti</v>
      </c>
    </row>
    <row r="130" spans="1:15" ht="28.8" x14ac:dyDescent="0.3">
      <c r="A130" s="5" t="s">
        <v>568</v>
      </c>
      <c r="B130" s="5" t="s">
        <v>113</v>
      </c>
      <c r="C130" s="5" t="s">
        <v>836</v>
      </c>
      <c r="D130" s="5" t="s">
        <v>204</v>
      </c>
      <c r="E130" s="5" t="s">
        <v>205</v>
      </c>
      <c r="F130" s="5" t="s">
        <v>206</v>
      </c>
      <c r="G130" s="5" t="s">
        <v>207</v>
      </c>
      <c r="H130" s="5" t="s">
        <v>208</v>
      </c>
      <c r="I130" s="5" t="s">
        <v>145</v>
      </c>
      <c r="J130" s="5" t="s">
        <v>145</v>
      </c>
      <c r="K130" s="5" t="s">
        <v>145</v>
      </c>
      <c r="L130" s="5" t="s">
        <v>145</v>
      </c>
      <c r="M130" s="5" t="s">
        <v>145</v>
      </c>
      <c r="N130" s="5" t="s">
        <v>205</v>
      </c>
      <c r="O130" s="5" t="str" cm="1">
        <f t="array" ref="O130">_xlfn.XLOOKUP(Tabella2[[#This Row],[Corretta]],Tabella2[[#This Row],[opzione 1]:[opzione 10]],Tabella2[[#This Row],[opzione 1]:[opzione 10]])</f>
        <v>Standardizzare</v>
      </c>
    </row>
    <row r="131" spans="1:15" ht="57.6" x14ac:dyDescent="0.3">
      <c r="A131" s="5" t="s">
        <v>568</v>
      </c>
      <c r="B131" s="5" t="s">
        <v>113</v>
      </c>
      <c r="C131" s="5" t="s">
        <v>693</v>
      </c>
      <c r="D131" s="5" t="s">
        <v>360</v>
      </c>
      <c r="E131" s="5" t="s">
        <v>361</v>
      </c>
      <c r="F131" s="5" t="s">
        <v>362</v>
      </c>
      <c r="G131" s="5" t="s">
        <v>363</v>
      </c>
      <c r="H131" s="5" t="s">
        <v>145</v>
      </c>
      <c r="I131" s="5" t="s">
        <v>145</v>
      </c>
      <c r="J131" s="5" t="s">
        <v>145</v>
      </c>
      <c r="K131" s="5" t="s">
        <v>145</v>
      </c>
      <c r="L131" s="5" t="s">
        <v>145</v>
      </c>
      <c r="M131" s="5" t="s">
        <v>145</v>
      </c>
      <c r="N131" s="5" t="s">
        <v>363</v>
      </c>
      <c r="O131" s="5" t="str" cm="1">
        <f t="array" ref="O131">_xlfn.XLOOKUP(Tabella2[[#This Row],[Corretta]],Tabella2[[#This Row],[opzione 1]:[opzione 10]],Tabella2[[#This Row],[opzione 1]:[opzione 10]])</f>
        <v>Eliminare strumenti realmente utili</v>
      </c>
    </row>
    <row r="132" spans="1:15" ht="28.8" x14ac:dyDescent="0.3">
      <c r="A132" s="5" t="s">
        <v>568</v>
      </c>
      <c r="B132" s="5" t="s">
        <v>113</v>
      </c>
      <c r="C132" s="5" t="s">
        <v>547</v>
      </c>
      <c r="D132" s="5" t="s">
        <v>204</v>
      </c>
      <c r="E132" s="5" t="s">
        <v>208</v>
      </c>
      <c r="F132" s="5" t="s">
        <v>206</v>
      </c>
      <c r="G132" s="5" t="s">
        <v>207</v>
      </c>
      <c r="H132" s="5" t="s">
        <v>205</v>
      </c>
      <c r="I132" s="5" t="s">
        <v>145</v>
      </c>
      <c r="J132" s="5" t="s">
        <v>145</v>
      </c>
      <c r="K132" s="5" t="s">
        <v>145</v>
      </c>
      <c r="L132" s="5" t="s">
        <v>145</v>
      </c>
      <c r="M132" s="5" t="s">
        <v>145</v>
      </c>
      <c r="N132" s="5" t="s">
        <v>206</v>
      </c>
      <c r="O132" s="5" t="str" cm="1">
        <f t="array" ref="O132">_xlfn.XLOOKUP(Tabella2[[#This Row],[Corretta]],Tabella2[[#This Row],[opzione 1]:[opzione 10]],Tabella2[[#This Row],[opzione 1]:[opzione 10]])</f>
        <v>Separare</v>
      </c>
    </row>
    <row r="133" spans="1:15" ht="28.8" x14ac:dyDescent="0.3">
      <c r="A133" s="5" t="s">
        <v>568</v>
      </c>
      <c r="B133" s="5" t="s">
        <v>113</v>
      </c>
      <c r="C133" s="5" t="s">
        <v>694</v>
      </c>
      <c r="D133" s="5" t="s">
        <v>204</v>
      </c>
      <c r="E133" s="5" t="s">
        <v>208</v>
      </c>
      <c r="F133" s="5" t="s">
        <v>206</v>
      </c>
      <c r="G133" s="5" t="s">
        <v>207</v>
      </c>
      <c r="H133" s="5" t="s">
        <v>205</v>
      </c>
      <c r="I133" s="5" t="s">
        <v>145</v>
      </c>
      <c r="J133" s="5" t="s">
        <v>145</v>
      </c>
      <c r="K133" s="5" t="s">
        <v>145</v>
      </c>
      <c r="L133" s="5" t="s">
        <v>145</v>
      </c>
      <c r="M133" s="5" t="s">
        <v>145</v>
      </c>
      <c r="N133" s="5" t="s">
        <v>208</v>
      </c>
      <c r="O133" s="5" t="str" cm="1">
        <f t="array" ref="O133">_xlfn.XLOOKUP(Tabella2[[#This Row],[Corretta]],Tabella2[[#This Row],[opzione 1]:[opzione 10]],Tabella2[[#This Row],[opzione 1]:[opzione 10]])</f>
        <v>Ordinare</v>
      </c>
    </row>
    <row r="134" spans="1:15" ht="28.8" x14ac:dyDescent="0.3">
      <c r="A134" s="5" t="s">
        <v>568</v>
      </c>
      <c r="B134" s="5" t="s">
        <v>113</v>
      </c>
      <c r="C134" s="5" t="s">
        <v>548</v>
      </c>
      <c r="D134" s="5" t="s">
        <v>204</v>
      </c>
      <c r="E134" s="5" t="s">
        <v>208</v>
      </c>
      <c r="F134" s="5" t="s">
        <v>206</v>
      </c>
      <c r="G134" s="5" t="s">
        <v>207</v>
      </c>
      <c r="H134" s="5" t="s">
        <v>205</v>
      </c>
      <c r="I134" s="5" t="s">
        <v>145</v>
      </c>
      <c r="J134" s="5" t="s">
        <v>145</v>
      </c>
      <c r="K134" s="5" t="s">
        <v>145</v>
      </c>
      <c r="L134" s="5" t="s">
        <v>145</v>
      </c>
      <c r="M134" s="5" t="s">
        <v>145</v>
      </c>
      <c r="N134" s="5" t="s">
        <v>207</v>
      </c>
      <c r="O134" s="5" t="str" cm="1">
        <f t="array" ref="O134">_xlfn.XLOOKUP(Tabella2[[#This Row],[Corretta]],Tabella2[[#This Row],[opzione 1]:[opzione 10]],Tabella2[[#This Row],[opzione 1]:[opzione 10]])</f>
        <v>Sostenere</v>
      </c>
    </row>
    <row r="135" spans="1:15" ht="28.8" x14ac:dyDescent="0.3">
      <c r="A135" s="5" t="s">
        <v>568</v>
      </c>
      <c r="B135" s="5" t="s">
        <v>215</v>
      </c>
      <c r="C135" s="5" t="s">
        <v>646</v>
      </c>
      <c r="D135" s="5" t="s">
        <v>209</v>
      </c>
      <c r="E135" s="5" t="s">
        <v>210</v>
      </c>
      <c r="F135" s="5" t="s">
        <v>211</v>
      </c>
      <c r="G135" s="5" t="s">
        <v>145</v>
      </c>
      <c r="H135" s="5" t="s">
        <v>145</v>
      </c>
      <c r="I135" s="5" t="s">
        <v>145</v>
      </c>
      <c r="J135" s="5" t="s">
        <v>145</v>
      </c>
      <c r="K135" s="5" t="s">
        <v>145</v>
      </c>
      <c r="L135" s="5" t="s">
        <v>145</v>
      </c>
      <c r="M135" s="5" t="s">
        <v>145</v>
      </c>
      <c r="N135" s="5" t="s">
        <v>210</v>
      </c>
      <c r="O135" s="5" t="str" cm="1">
        <f t="array" ref="O135">_xlfn.XLOOKUP(Tabella2[[#This Row],[Corretta]],Tabella2[[#This Row],[opzione 1]:[opzione 10]],Tabella2[[#This Row],[opzione 1]:[opzione 10]])</f>
        <v>No</v>
      </c>
    </row>
    <row r="136" spans="1:15" ht="28.8" x14ac:dyDescent="0.3">
      <c r="A136" s="5" t="s">
        <v>568</v>
      </c>
      <c r="B136" s="5" t="s">
        <v>215</v>
      </c>
      <c r="C136" s="5" t="s">
        <v>811</v>
      </c>
      <c r="D136" s="5" t="s">
        <v>209</v>
      </c>
      <c r="E136" s="5" t="s">
        <v>210</v>
      </c>
      <c r="F136" s="5" t="s">
        <v>211</v>
      </c>
      <c r="G136" s="5" t="s">
        <v>145</v>
      </c>
      <c r="H136" s="5" t="s">
        <v>145</v>
      </c>
      <c r="I136" s="5" t="s">
        <v>145</v>
      </c>
      <c r="J136" s="5" t="s">
        <v>145</v>
      </c>
      <c r="K136" s="5" t="s">
        <v>145</v>
      </c>
      <c r="L136" s="5" t="s">
        <v>145</v>
      </c>
      <c r="M136" s="5" t="s">
        <v>145</v>
      </c>
      <c r="N136" s="5" t="s">
        <v>210</v>
      </c>
      <c r="O136" s="5" t="str" cm="1">
        <f t="array" ref="O136">_xlfn.XLOOKUP(Tabella2[[#This Row],[Corretta]],Tabella2[[#This Row],[opzione 1]:[opzione 10]],Tabella2[[#This Row],[opzione 1]:[opzione 10]])</f>
        <v>No</v>
      </c>
    </row>
    <row r="137" spans="1:15" ht="28.8" x14ac:dyDescent="0.3">
      <c r="A137" s="5" t="s">
        <v>568</v>
      </c>
      <c r="B137" s="5" t="s">
        <v>215</v>
      </c>
      <c r="C137" s="5" t="s">
        <v>647</v>
      </c>
      <c r="D137" s="5" t="s">
        <v>209</v>
      </c>
      <c r="E137" s="5" t="s">
        <v>210</v>
      </c>
      <c r="F137" s="5" t="s">
        <v>211</v>
      </c>
      <c r="G137" s="5" t="s">
        <v>145</v>
      </c>
      <c r="H137" s="5" t="s">
        <v>145</v>
      </c>
      <c r="I137" s="5" t="s">
        <v>145</v>
      </c>
      <c r="J137" s="5" t="s">
        <v>145</v>
      </c>
      <c r="K137" s="5" t="s">
        <v>145</v>
      </c>
      <c r="L137" s="5" t="s">
        <v>145</v>
      </c>
      <c r="M137" s="5" t="s">
        <v>145</v>
      </c>
      <c r="N137" s="5" t="s">
        <v>210</v>
      </c>
      <c r="O137" s="5" t="str" cm="1">
        <f t="array" ref="O137">_xlfn.XLOOKUP(Tabella2[[#This Row],[Corretta]],Tabella2[[#This Row],[opzione 1]:[opzione 10]],Tabella2[[#This Row],[opzione 1]:[opzione 10]])</f>
        <v>No</v>
      </c>
    </row>
    <row r="138" spans="1:15" ht="28.8" x14ac:dyDescent="0.3">
      <c r="A138" s="5" t="s">
        <v>568</v>
      </c>
      <c r="B138" s="5" t="s">
        <v>215</v>
      </c>
      <c r="C138" s="5" t="s">
        <v>648</v>
      </c>
      <c r="D138" s="5" t="s">
        <v>209</v>
      </c>
      <c r="E138" s="5" t="s">
        <v>210</v>
      </c>
      <c r="F138" s="5" t="s">
        <v>211</v>
      </c>
      <c r="G138" s="5" t="s">
        <v>145</v>
      </c>
      <c r="H138" s="5" t="s">
        <v>145</v>
      </c>
      <c r="I138" s="5" t="s">
        <v>145</v>
      </c>
      <c r="J138" s="5" t="s">
        <v>145</v>
      </c>
      <c r="K138" s="5" t="s">
        <v>145</v>
      </c>
      <c r="L138" s="5" t="s">
        <v>145</v>
      </c>
      <c r="M138" s="5" t="s">
        <v>145</v>
      </c>
      <c r="N138" s="5" t="s">
        <v>209</v>
      </c>
      <c r="O138" s="5" t="str" cm="1">
        <f t="array" ref="O138">_xlfn.XLOOKUP(Tabella2[[#This Row],[Corretta]],Tabella2[[#This Row],[opzione 1]:[opzione 10]],Tabella2[[#This Row],[opzione 1]:[opzione 10]])</f>
        <v>Si</v>
      </c>
    </row>
    <row r="139" spans="1:15" ht="28.8" x14ac:dyDescent="0.3">
      <c r="A139" s="5" t="s">
        <v>568</v>
      </c>
      <c r="B139" s="5" t="s">
        <v>215</v>
      </c>
      <c r="C139" s="5" t="s">
        <v>649</v>
      </c>
      <c r="D139" s="5" t="s">
        <v>209</v>
      </c>
      <c r="E139" s="5" t="s">
        <v>210</v>
      </c>
      <c r="F139" s="5" t="s">
        <v>211</v>
      </c>
      <c r="G139" s="5" t="s">
        <v>145</v>
      </c>
      <c r="H139" s="5" t="s">
        <v>145</v>
      </c>
      <c r="I139" s="5" t="s">
        <v>145</v>
      </c>
      <c r="J139" s="5" t="s">
        <v>145</v>
      </c>
      <c r="K139" s="5" t="s">
        <v>145</v>
      </c>
      <c r="L139" s="5" t="s">
        <v>145</v>
      </c>
      <c r="M139" s="5" t="s">
        <v>145</v>
      </c>
      <c r="N139" s="5" t="s">
        <v>209</v>
      </c>
      <c r="O139" s="5" t="str" cm="1">
        <f t="array" ref="O139">_xlfn.XLOOKUP(Tabella2[[#This Row],[Corretta]],Tabella2[[#This Row],[opzione 1]:[opzione 10]],Tabella2[[#This Row],[opzione 1]:[opzione 10]])</f>
        <v>Si</v>
      </c>
    </row>
    <row r="140" spans="1:15" ht="72" x14ac:dyDescent="0.3">
      <c r="A140" s="5" t="s">
        <v>568</v>
      </c>
      <c r="B140" s="5" t="s">
        <v>215</v>
      </c>
      <c r="C140" s="5" t="s">
        <v>364</v>
      </c>
      <c r="D140" s="5" t="s">
        <v>365</v>
      </c>
      <c r="E140" s="5" t="s">
        <v>366</v>
      </c>
      <c r="F140" s="5" t="s">
        <v>367</v>
      </c>
      <c r="G140" s="5" t="s">
        <v>368</v>
      </c>
      <c r="H140" s="5" t="s">
        <v>145</v>
      </c>
      <c r="I140" s="5" t="s">
        <v>145</v>
      </c>
      <c r="J140" s="5" t="s">
        <v>145</v>
      </c>
      <c r="K140" s="5" t="s">
        <v>145</v>
      </c>
      <c r="L140" s="5" t="s">
        <v>145</v>
      </c>
      <c r="M140" s="5" t="s">
        <v>145</v>
      </c>
      <c r="N140" s="5" t="s">
        <v>366</v>
      </c>
      <c r="O140" s="5" t="str" cm="1">
        <f t="array" ref="O140">_xlfn.XLOOKUP(Tabella2[[#This Row],[Corretta]],Tabella2[[#This Row],[opzione 1]:[opzione 10]],Tabella2[[#This Row],[opzione 1]:[opzione 10]])</f>
        <v>Raggiungere la causa radice del problema</v>
      </c>
    </row>
    <row r="141" spans="1:15" ht="158.4" x14ac:dyDescent="0.3">
      <c r="A141" s="5" t="s">
        <v>568</v>
      </c>
      <c r="B141" s="5" t="s">
        <v>215</v>
      </c>
      <c r="C141" s="5" t="s">
        <v>650</v>
      </c>
      <c r="D141" s="5" t="s">
        <v>365</v>
      </c>
      <c r="E141" s="5" t="s">
        <v>366</v>
      </c>
      <c r="F141" s="5" t="s">
        <v>367</v>
      </c>
      <c r="G141" s="5" t="s">
        <v>368</v>
      </c>
      <c r="H141" s="5" t="s">
        <v>145</v>
      </c>
      <c r="I141" s="5" t="s">
        <v>145</v>
      </c>
      <c r="J141" s="5" t="s">
        <v>145</v>
      </c>
      <c r="K141" s="5" t="s">
        <v>145</v>
      </c>
      <c r="L141" s="5" t="s">
        <v>145</v>
      </c>
      <c r="M141" s="5" t="s">
        <v>145</v>
      </c>
      <c r="N141" s="5" t="s">
        <v>365</v>
      </c>
      <c r="O141" s="5" t="str" cm="1">
        <f t="array" ref="O141">_xlfn.XLOOKUP(Tabella2[[#This Row],[Corretta]],Tabella2[[#This Row],[opzione 1]:[opzione 10]],Tabella2[[#This Row],[opzione 1]:[opzione 10]])</f>
        <v>Permette di visualizzare l'insieme delle cause potenziali di un qualsiasi effetto</v>
      </c>
    </row>
    <row r="142" spans="1:15" ht="115.2" x14ac:dyDescent="0.3">
      <c r="A142" s="5" t="s">
        <v>568</v>
      </c>
      <c r="B142" s="5" t="s">
        <v>215</v>
      </c>
      <c r="C142" s="5" t="s">
        <v>651</v>
      </c>
      <c r="D142" s="5" t="s">
        <v>212</v>
      </c>
      <c r="E142" s="5" t="s">
        <v>530</v>
      </c>
      <c r="F142" s="5" t="s">
        <v>213</v>
      </c>
      <c r="G142" s="5" t="s">
        <v>214</v>
      </c>
      <c r="H142" s="5" t="s">
        <v>145</v>
      </c>
      <c r="I142" s="5" t="s">
        <v>145</v>
      </c>
      <c r="J142" s="5" t="s">
        <v>145</v>
      </c>
      <c r="K142" s="5" t="s">
        <v>145</v>
      </c>
      <c r="L142" s="5" t="s">
        <v>145</v>
      </c>
      <c r="M142" s="5" t="s">
        <v>145</v>
      </c>
      <c r="N142" s="5" t="s">
        <v>213</v>
      </c>
      <c r="O142" s="5" t="str" cm="1">
        <f t="array" ref="O142">_xlfn.XLOOKUP(Tabella2[[#This Row],[Corretta]],Tabella2[[#This Row],[opzione 1]:[opzione 10]],Tabella2[[#This Row],[opzione 1]:[opzione 10]])</f>
        <v>Mario ha utilizzato un approccio istintivo anziché scientifico</v>
      </c>
    </row>
    <row r="143" spans="1:15" ht="28.8" x14ac:dyDescent="0.3">
      <c r="A143" s="5" t="s">
        <v>568</v>
      </c>
      <c r="B143" s="5" t="s">
        <v>215</v>
      </c>
      <c r="C143" s="5" t="s">
        <v>695</v>
      </c>
      <c r="D143" s="5" t="s">
        <v>215</v>
      </c>
      <c r="E143" s="5" t="s">
        <v>216</v>
      </c>
      <c r="F143" s="5" t="s">
        <v>145</v>
      </c>
      <c r="G143" s="5" t="s">
        <v>145</v>
      </c>
      <c r="H143" s="5" t="s">
        <v>145</v>
      </c>
      <c r="I143" s="5" t="s">
        <v>145</v>
      </c>
      <c r="J143" s="5" t="s">
        <v>145</v>
      </c>
      <c r="K143" s="5" t="s">
        <v>145</v>
      </c>
      <c r="L143" s="5" t="s">
        <v>145</v>
      </c>
      <c r="M143" s="5" t="s">
        <v>145</v>
      </c>
      <c r="N143" s="5" t="s">
        <v>215</v>
      </c>
      <c r="O143" s="5" t="str" cm="1">
        <f t="array" ref="O143">_xlfn.XLOOKUP(Tabella2[[#This Row],[Corretta]],Tabella2[[#This Row],[opzione 1]:[opzione 10]],Tabella2[[#This Row],[opzione 1]:[opzione 10]])</f>
        <v>Problem solving</v>
      </c>
    </row>
    <row r="144" spans="1:15" ht="28.8" x14ac:dyDescent="0.3">
      <c r="A144" s="5" t="s">
        <v>568</v>
      </c>
      <c r="B144" s="5" t="s">
        <v>215</v>
      </c>
      <c r="C144" s="5" t="s">
        <v>652</v>
      </c>
      <c r="D144" s="5" t="s">
        <v>215</v>
      </c>
      <c r="E144" s="5" t="s">
        <v>216</v>
      </c>
      <c r="F144" s="5" t="s">
        <v>145</v>
      </c>
      <c r="G144" s="5" t="s">
        <v>145</v>
      </c>
      <c r="H144" s="5" t="s">
        <v>145</v>
      </c>
      <c r="I144" s="5" t="s">
        <v>145</v>
      </c>
      <c r="J144" s="5" t="s">
        <v>145</v>
      </c>
      <c r="K144" s="5" t="s">
        <v>145</v>
      </c>
      <c r="L144" s="5" t="s">
        <v>145</v>
      </c>
      <c r="M144" s="5" t="s">
        <v>145</v>
      </c>
      <c r="N144" s="5" t="s">
        <v>216</v>
      </c>
      <c r="O144" s="5" t="str" cm="1">
        <f t="array" ref="O144">_xlfn.XLOOKUP(Tabella2[[#This Row],[Corretta]],Tabella2[[#This Row],[opzione 1]:[opzione 10]],Tabella2[[#This Row],[opzione 1]:[opzione 10]])</f>
        <v>Decision making</v>
      </c>
    </row>
    <row r="145" spans="1:15" ht="28.8" x14ac:dyDescent="0.3">
      <c r="A145" s="5" t="s">
        <v>568</v>
      </c>
      <c r="B145" s="5" t="s">
        <v>215</v>
      </c>
      <c r="C145" s="5" t="s">
        <v>653</v>
      </c>
      <c r="D145" s="5" t="s">
        <v>215</v>
      </c>
      <c r="E145" s="5" t="s">
        <v>216</v>
      </c>
      <c r="F145" s="5" t="s">
        <v>145</v>
      </c>
      <c r="G145" s="5" t="s">
        <v>145</v>
      </c>
      <c r="H145" s="5" t="s">
        <v>145</v>
      </c>
      <c r="I145" s="5" t="s">
        <v>145</v>
      </c>
      <c r="J145" s="5" t="s">
        <v>145</v>
      </c>
      <c r="K145" s="5" t="s">
        <v>145</v>
      </c>
      <c r="L145" s="5" t="s">
        <v>145</v>
      </c>
      <c r="M145" s="5" t="s">
        <v>145</v>
      </c>
      <c r="N145" s="5" t="s">
        <v>215</v>
      </c>
      <c r="O145" s="5" t="str" cm="1">
        <f t="array" ref="O145">_xlfn.XLOOKUP(Tabella2[[#This Row],[Corretta]],Tabella2[[#This Row],[opzione 1]:[opzione 10]],Tabella2[[#This Row],[opzione 1]:[opzione 10]])</f>
        <v>Problem solving</v>
      </c>
    </row>
    <row r="146" spans="1:15" ht="28.8" x14ac:dyDescent="0.3">
      <c r="A146" s="5" t="s">
        <v>568</v>
      </c>
      <c r="B146" s="5" t="s">
        <v>215</v>
      </c>
      <c r="C146" s="5" t="s">
        <v>654</v>
      </c>
      <c r="D146" s="5" t="s">
        <v>215</v>
      </c>
      <c r="E146" s="5" t="s">
        <v>216</v>
      </c>
      <c r="F146" s="5" t="s">
        <v>145</v>
      </c>
      <c r="G146" s="5" t="s">
        <v>145</v>
      </c>
      <c r="H146" s="5" t="s">
        <v>145</v>
      </c>
      <c r="I146" s="5" t="s">
        <v>145</v>
      </c>
      <c r="J146" s="5" t="s">
        <v>145</v>
      </c>
      <c r="K146" s="5" t="s">
        <v>145</v>
      </c>
      <c r="L146" s="5" t="s">
        <v>145</v>
      </c>
      <c r="M146" s="5" t="s">
        <v>145</v>
      </c>
      <c r="N146" s="5" t="s">
        <v>216</v>
      </c>
      <c r="O146" s="5" t="str" cm="1">
        <f t="array" ref="O146">_xlfn.XLOOKUP(Tabella2[[#This Row],[Corretta]],Tabella2[[#This Row],[opzione 1]:[opzione 10]],Tabella2[[#This Row],[opzione 1]:[opzione 10]])</f>
        <v>Decision making</v>
      </c>
    </row>
    <row r="147" spans="1:15" ht="28.8" x14ac:dyDescent="0.3">
      <c r="A147" s="5" t="s">
        <v>568</v>
      </c>
      <c r="B147" s="5" t="s">
        <v>215</v>
      </c>
      <c r="C147" s="5" t="s">
        <v>840</v>
      </c>
      <c r="D147" s="5" t="s">
        <v>215</v>
      </c>
      <c r="E147" s="5" t="s">
        <v>216</v>
      </c>
      <c r="F147" s="5" t="s">
        <v>145</v>
      </c>
      <c r="G147" s="5" t="s">
        <v>145</v>
      </c>
      <c r="H147" s="5" t="s">
        <v>145</v>
      </c>
      <c r="I147" s="5" t="s">
        <v>145</v>
      </c>
      <c r="J147" s="5" t="s">
        <v>145</v>
      </c>
      <c r="K147" s="5" t="s">
        <v>145</v>
      </c>
      <c r="L147" s="5" t="s">
        <v>145</v>
      </c>
      <c r="M147" s="5" t="s">
        <v>145</v>
      </c>
      <c r="N147" s="5" t="s">
        <v>216</v>
      </c>
      <c r="O147" s="5" t="str" cm="1">
        <f t="array" ref="O147">_xlfn.XLOOKUP(Tabella2[[#This Row],[Corretta]],Tabella2[[#This Row],[opzione 1]:[opzione 10]],Tabella2[[#This Row],[opzione 1]:[opzione 10]])</f>
        <v>Decision making</v>
      </c>
    </row>
    <row r="148" spans="1:15" ht="28.8" x14ac:dyDescent="0.3">
      <c r="A148" s="5" t="s">
        <v>568</v>
      </c>
      <c r="B148" s="5" t="s">
        <v>215</v>
      </c>
      <c r="C148" s="5" t="s">
        <v>655</v>
      </c>
      <c r="D148" s="5" t="s">
        <v>215</v>
      </c>
      <c r="E148" s="5" t="s">
        <v>216</v>
      </c>
      <c r="F148" s="5" t="s">
        <v>145</v>
      </c>
      <c r="G148" s="5" t="s">
        <v>145</v>
      </c>
      <c r="H148" s="5" t="s">
        <v>145</v>
      </c>
      <c r="I148" s="5" t="s">
        <v>145</v>
      </c>
      <c r="J148" s="5" t="s">
        <v>145</v>
      </c>
      <c r="K148" s="5" t="s">
        <v>145</v>
      </c>
      <c r="L148" s="5" t="s">
        <v>145</v>
      </c>
      <c r="M148" s="5" t="s">
        <v>145</v>
      </c>
      <c r="N148" s="5" t="s">
        <v>215</v>
      </c>
      <c r="O148" s="5" t="str" cm="1">
        <f t="array" ref="O148">_xlfn.XLOOKUP(Tabella2[[#This Row],[Corretta]],Tabella2[[#This Row],[opzione 1]:[opzione 10]],Tabella2[[#This Row],[opzione 1]:[opzione 10]])</f>
        <v>Problem solving</v>
      </c>
    </row>
    <row r="149" spans="1:15" ht="43.2" x14ac:dyDescent="0.3">
      <c r="A149" s="5" t="s">
        <v>568</v>
      </c>
      <c r="B149" s="5" t="s">
        <v>215</v>
      </c>
      <c r="C149" s="5" t="s">
        <v>369</v>
      </c>
      <c r="D149" s="5" t="s">
        <v>370</v>
      </c>
      <c r="E149" s="5" t="s">
        <v>371</v>
      </c>
      <c r="F149" s="5" t="s">
        <v>372</v>
      </c>
      <c r="G149" s="5" t="s">
        <v>217</v>
      </c>
      <c r="H149" s="5" t="s">
        <v>145</v>
      </c>
      <c r="I149" s="5" t="s">
        <v>145</v>
      </c>
      <c r="J149" s="5" t="s">
        <v>145</v>
      </c>
      <c r="K149" s="5" t="s">
        <v>145</v>
      </c>
      <c r="L149" s="5" t="s">
        <v>145</v>
      </c>
      <c r="M149" s="5" t="s">
        <v>145</v>
      </c>
      <c r="N149" s="5" t="s">
        <v>217</v>
      </c>
      <c r="O149" s="5" t="str" cm="1">
        <f t="array" ref="O149">_xlfn.XLOOKUP(Tabella2[[#This Row],[Corretta]],Tabella2[[#This Row],[opzione 1]:[opzione 10]],Tabella2[[#This Row],[opzione 1]:[opzione 10]])</f>
        <v>L'effetto del problema</v>
      </c>
    </row>
    <row r="150" spans="1:15" ht="144" x14ac:dyDescent="0.3">
      <c r="A150" s="5" t="s">
        <v>568</v>
      </c>
      <c r="B150" s="5" t="s">
        <v>215</v>
      </c>
      <c r="C150" s="5" t="s">
        <v>783</v>
      </c>
      <c r="D150" s="5" t="s">
        <v>218</v>
      </c>
      <c r="E150" s="5" t="s">
        <v>219</v>
      </c>
      <c r="F150" s="5" t="s">
        <v>373</v>
      </c>
      <c r="G150" s="5" t="s">
        <v>203</v>
      </c>
      <c r="H150" s="5" t="s">
        <v>145</v>
      </c>
      <c r="I150" s="5" t="s">
        <v>145</v>
      </c>
      <c r="J150" s="5" t="s">
        <v>145</v>
      </c>
      <c r="K150" s="5" t="s">
        <v>145</v>
      </c>
      <c r="L150" s="5" t="s">
        <v>145</v>
      </c>
      <c r="M150" s="5" t="s">
        <v>145</v>
      </c>
      <c r="N150" s="5" t="s">
        <v>218</v>
      </c>
      <c r="O150" s="5" t="str" cm="1">
        <f t="array" ref="O150">_xlfn.XLOOKUP(Tabella2[[#This Row],[Corretta]],Tabella2[[#This Row],[opzione 1]:[opzione 10]],Tabella2[[#This Row],[opzione 1]:[opzione 10]])</f>
        <v>Gli operatori non seguono sempre la stessa sequenza di montaggio</v>
      </c>
    </row>
    <row r="151" spans="1:15" ht="57.6" x14ac:dyDescent="0.3">
      <c r="A151" s="5" t="s">
        <v>568</v>
      </c>
      <c r="B151" s="5" t="s">
        <v>215</v>
      </c>
      <c r="C151" s="5" t="s">
        <v>804</v>
      </c>
      <c r="D151" s="5" t="s">
        <v>374</v>
      </c>
      <c r="E151" s="5" t="s">
        <v>375</v>
      </c>
      <c r="F151" s="5" t="s">
        <v>376</v>
      </c>
      <c r="G151" s="5" t="s">
        <v>377</v>
      </c>
      <c r="H151" s="5" t="s">
        <v>145</v>
      </c>
      <c r="I151" s="5" t="s">
        <v>145</v>
      </c>
      <c r="J151" s="5" t="s">
        <v>145</v>
      </c>
      <c r="K151" s="5" t="s">
        <v>145</v>
      </c>
      <c r="L151" s="5" t="s">
        <v>145</v>
      </c>
      <c r="M151" s="5" t="s">
        <v>145</v>
      </c>
      <c r="N151" s="5" t="s">
        <v>377</v>
      </c>
      <c r="O151" s="5" t="str" cm="1">
        <f t="array" ref="O151">_xlfn.XLOOKUP(Tabella2[[#This Row],[Corretta]],Tabella2[[#This Row],[opzione 1]:[opzione 10]],Tabella2[[#This Row],[opzione 1]:[opzione 10]])</f>
        <v>Non si può determinare</v>
      </c>
    </row>
    <row r="152" spans="1:15" ht="57.6" x14ac:dyDescent="0.3">
      <c r="A152" s="5" t="s">
        <v>568</v>
      </c>
      <c r="B152" s="5" t="s">
        <v>215</v>
      </c>
      <c r="C152" s="5" t="s">
        <v>805</v>
      </c>
      <c r="D152" s="5" t="s">
        <v>374</v>
      </c>
      <c r="E152" s="5" t="s">
        <v>375</v>
      </c>
      <c r="F152" s="5" t="s">
        <v>376</v>
      </c>
      <c r="G152" s="5" t="s">
        <v>377</v>
      </c>
      <c r="H152" s="5" t="s">
        <v>145</v>
      </c>
      <c r="I152" s="5" t="s">
        <v>145</v>
      </c>
      <c r="J152" s="5" t="s">
        <v>145</v>
      </c>
      <c r="K152" s="5" t="s">
        <v>145</v>
      </c>
      <c r="L152" s="5" t="s">
        <v>145</v>
      </c>
      <c r="M152" s="5" t="s">
        <v>145</v>
      </c>
      <c r="N152" s="5" t="s">
        <v>377</v>
      </c>
      <c r="O152" s="5" t="str" cm="1">
        <f t="array" ref="O152">_xlfn.XLOOKUP(Tabella2[[#This Row],[Corretta]],Tabella2[[#This Row],[opzione 1]:[opzione 10]],Tabella2[[#This Row],[opzione 1]:[opzione 10]])</f>
        <v>Non si può determinare</v>
      </c>
    </row>
    <row r="153" spans="1:15" ht="43.2" x14ac:dyDescent="0.3">
      <c r="A153" s="5" t="s">
        <v>568</v>
      </c>
      <c r="B153" s="5" t="s">
        <v>215</v>
      </c>
      <c r="C153" s="5" t="s">
        <v>806</v>
      </c>
      <c r="D153" s="5" t="s">
        <v>374</v>
      </c>
      <c r="E153" s="5" t="s">
        <v>375</v>
      </c>
      <c r="F153" s="5" t="s">
        <v>376</v>
      </c>
      <c r="G153" s="5" t="s">
        <v>377</v>
      </c>
      <c r="H153" s="5" t="s">
        <v>145</v>
      </c>
      <c r="I153" s="5" t="s">
        <v>145</v>
      </c>
      <c r="J153" s="5" t="s">
        <v>145</v>
      </c>
      <c r="K153" s="5" t="s">
        <v>145</v>
      </c>
      <c r="L153" s="5" t="s">
        <v>145</v>
      </c>
      <c r="M153" s="5" t="s">
        <v>145</v>
      </c>
      <c r="N153" s="5" t="s">
        <v>375</v>
      </c>
      <c r="O153" s="5" t="str" cm="1">
        <f t="array" ref="O153">_xlfn.XLOOKUP(Tabella2[[#This Row],[Corretta]],Tabella2[[#This Row],[opzione 1]:[opzione 10]],Tabella2[[#This Row],[opzione 1]:[opzione 10]])</f>
        <v>Methods</v>
      </c>
    </row>
    <row r="154" spans="1:15" ht="57.6" x14ac:dyDescent="0.3">
      <c r="A154" s="5" t="s">
        <v>568</v>
      </c>
      <c r="B154" s="5" t="s">
        <v>215</v>
      </c>
      <c r="C154" s="5" t="s">
        <v>784</v>
      </c>
      <c r="D154" s="5" t="s">
        <v>374</v>
      </c>
      <c r="E154" s="5" t="s">
        <v>375</v>
      </c>
      <c r="F154" s="5" t="s">
        <v>376</v>
      </c>
      <c r="G154" s="5" t="s">
        <v>377</v>
      </c>
      <c r="H154" s="5" t="s">
        <v>145</v>
      </c>
      <c r="I154" s="5" t="s">
        <v>145</v>
      </c>
      <c r="J154" s="5" t="s">
        <v>145</v>
      </c>
      <c r="K154" s="5" t="s">
        <v>145</v>
      </c>
      <c r="L154" s="5" t="s">
        <v>145</v>
      </c>
      <c r="M154" s="5" t="s">
        <v>145</v>
      </c>
      <c r="N154" s="5" t="s">
        <v>374</v>
      </c>
      <c r="O154" s="5" t="str" cm="1">
        <f t="array" ref="O154">_xlfn.XLOOKUP(Tabella2[[#This Row],[Corretta]],Tabella2[[#This Row],[opzione 1]:[opzione 10]],Tabella2[[#This Row],[opzione 1]:[opzione 10]])</f>
        <v>Materials</v>
      </c>
    </row>
    <row r="155" spans="1:15" ht="72" x14ac:dyDescent="0.3">
      <c r="A155" s="5" t="s">
        <v>568</v>
      </c>
      <c r="B155" s="5" t="s">
        <v>215</v>
      </c>
      <c r="C155" s="5" t="s">
        <v>785</v>
      </c>
      <c r="D155" s="5" t="s">
        <v>374</v>
      </c>
      <c r="E155" s="5" t="s">
        <v>375</v>
      </c>
      <c r="F155" s="5" t="s">
        <v>376</v>
      </c>
      <c r="G155" s="5" t="s">
        <v>377</v>
      </c>
      <c r="H155" s="5" t="s">
        <v>145</v>
      </c>
      <c r="I155" s="5" t="s">
        <v>145</v>
      </c>
      <c r="J155" s="5" t="s">
        <v>145</v>
      </c>
      <c r="K155" s="5" t="s">
        <v>145</v>
      </c>
      <c r="L155" s="5" t="s">
        <v>145</v>
      </c>
      <c r="M155" s="5" t="s">
        <v>145</v>
      </c>
      <c r="N155" s="5" t="s">
        <v>376</v>
      </c>
      <c r="O155" s="5" t="str" cm="1">
        <f t="array" ref="O155">_xlfn.XLOOKUP(Tabella2[[#This Row],[Corretta]],Tabella2[[#This Row],[opzione 1]:[opzione 10]],Tabella2[[#This Row],[opzione 1]:[opzione 10]])</f>
        <v>Environment</v>
      </c>
    </row>
    <row r="156" spans="1:15" ht="72" x14ac:dyDescent="0.3">
      <c r="A156" s="5" t="s">
        <v>568</v>
      </c>
      <c r="B156" s="5" t="s">
        <v>119</v>
      </c>
      <c r="C156" s="5" t="s">
        <v>812</v>
      </c>
      <c r="D156" s="5" t="s">
        <v>378</v>
      </c>
      <c r="E156" s="5" t="s">
        <v>220</v>
      </c>
      <c r="F156" s="5" t="s">
        <v>379</v>
      </c>
      <c r="G156" s="5" t="s">
        <v>380</v>
      </c>
      <c r="H156" s="5" t="s">
        <v>145</v>
      </c>
      <c r="I156" s="5" t="s">
        <v>145</v>
      </c>
      <c r="J156" s="5" t="s">
        <v>145</v>
      </c>
      <c r="K156" s="5" t="s">
        <v>145</v>
      </c>
      <c r="L156" s="5" t="s">
        <v>145</v>
      </c>
      <c r="M156" s="5" t="s">
        <v>145</v>
      </c>
      <c r="N156" s="5" t="s">
        <v>379</v>
      </c>
      <c r="O156" s="5" t="str" cm="1">
        <f t="array" ref="O156">_xlfn.XLOOKUP(Tabella2[[#This Row],[Corretta]],Tabella2[[#This Row],[opzione 1]:[opzione 10]],Tabella2[[#This Row],[opzione 1]:[opzione 10]])</f>
        <v>Sostituire lo stampo di una macchina</v>
      </c>
    </row>
    <row r="157" spans="1:15" ht="331.2" x14ac:dyDescent="0.3">
      <c r="A157" s="5" t="s">
        <v>568</v>
      </c>
      <c r="B157" s="5" t="s">
        <v>119</v>
      </c>
      <c r="C157" s="5" t="s">
        <v>801</v>
      </c>
      <c r="D157" s="5" t="s">
        <v>381</v>
      </c>
      <c r="E157" s="5" t="s">
        <v>531</v>
      </c>
      <c r="F157" s="5" t="s">
        <v>382</v>
      </c>
      <c r="G157" s="5" t="s">
        <v>532</v>
      </c>
      <c r="H157" s="5" t="s">
        <v>145</v>
      </c>
      <c r="I157" s="5" t="s">
        <v>145</v>
      </c>
      <c r="J157" s="5" t="s">
        <v>145</v>
      </c>
      <c r="K157" s="5" t="s">
        <v>145</v>
      </c>
      <c r="L157" s="5" t="s">
        <v>145</v>
      </c>
      <c r="M157" s="5" t="s">
        <v>145</v>
      </c>
      <c r="N157" s="5" t="s">
        <v>531</v>
      </c>
      <c r="O157" s="5" t="str" cm="1">
        <f t="array" ref="O157">_xlfn.XLOOKUP(Tabella2[[#This Row],[Corretta]],Tabella2[[#This Row],[opzione 1]:[opzione 10]],Tabella2[[#This Row],[opzione 1]:[opzione 10]])</f>
        <v>Inizia quando l'operatore inizia a smontare i componenti dalla macchina fino a quando l'operatore finisce di verificare la conformità alle specifiche della prima bottiglia da un litro</v>
      </c>
    </row>
    <row r="158" spans="1:15" ht="28.8" x14ac:dyDescent="0.3">
      <c r="A158" s="5" t="s">
        <v>568</v>
      </c>
      <c r="B158" s="5" t="s">
        <v>119</v>
      </c>
      <c r="C158" s="5" t="s">
        <v>814</v>
      </c>
      <c r="D158" s="5" t="s">
        <v>383</v>
      </c>
      <c r="E158" s="5" t="s">
        <v>384</v>
      </c>
      <c r="F158" s="5" t="s">
        <v>385</v>
      </c>
      <c r="G158" s="5" t="s">
        <v>203</v>
      </c>
      <c r="H158" s="5" t="s">
        <v>145</v>
      </c>
      <c r="I158" s="5" t="s">
        <v>145</v>
      </c>
      <c r="J158" s="5" t="s">
        <v>145</v>
      </c>
      <c r="K158" s="5" t="s">
        <v>145</v>
      </c>
      <c r="L158" s="5" t="s">
        <v>145</v>
      </c>
      <c r="M158" s="5" t="s">
        <v>145</v>
      </c>
      <c r="N158" s="5" t="s">
        <v>385</v>
      </c>
      <c r="O158" s="5" t="str" cm="1">
        <f t="array" ref="O158">_xlfn.XLOOKUP(Tabella2[[#This Row],[Corretta]],Tabella2[[#This Row],[opzione 1]:[opzione 10]],Tabella2[[#This Row],[opzione 1]:[opzione 10]])</f>
        <v>0,75</v>
      </c>
    </row>
    <row r="159" spans="1:15" ht="57.6" x14ac:dyDescent="0.3">
      <c r="A159" s="5" t="s">
        <v>568</v>
      </c>
      <c r="B159" s="5" t="s">
        <v>119</v>
      </c>
      <c r="C159" s="5" t="s">
        <v>815</v>
      </c>
      <c r="D159" s="5" t="s">
        <v>386</v>
      </c>
      <c r="E159" s="5" t="s">
        <v>387</v>
      </c>
      <c r="F159" s="5" t="s">
        <v>388</v>
      </c>
      <c r="G159" s="5" t="s">
        <v>203</v>
      </c>
      <c r="H159" s="5" t="s">
        <v>145</v>
      </c>
      <c r="I159" s="5" t="s">
        <v>145</v>
      </c>
      <c r="J159" s="5" t="s">
        <v>145</v>
      </c>
      <c r="K159" s="5" t="s">
        <v>145</v>
      </c>
      <c r="L159" s="5" t="s">
        <v>145</v>
      </c>
      <c r="M159" s="5" t="s">
        <v>145</v>
      </c>
      <c r="N159" s="5" t="s">
        <v>203</v>
      </c>
      <c r="O159" s="5" t="str" cm="1">
        <f t="array" ref="O159">_xlfn.XLOOKUP(Tabella2[[#This Row],[Corretta]],Tabella2[[#This Row],[opzione 1]:[opzione 10]],Tabella2[[#This Row],[opzione 1]:[opzione 10]])</f>
        <v>Nessuna delle precedenti</v>
      </c>
    </row>
    <row r="160" spans="1:15" ht="28.8" x14ac:dyDescent="0.3">
      <c r="A160" s="5" t="s">
        <v>568</v>
      </c>
      <c r="B160" s="5" t="s">
        <v>119</v>
      </c>
      <c r="C160" s="5" t="s">
        <v>816</v>
      </c>
      <c r="D160" s="5" t="s">
        <v>389</v>
      </c>
      <c r="E160" s="5" t="s">
        <v>390</v>
      </c>
      <c r="F160" s="5" t="s">
        <v>384</v>
      </c>
      <c r="G160" s="5" t="s">
        <v>203</v>
      </c>
      <c r="H160" s="5" t="s">
        <v>145</v>
      </c>
      <c r="I160" s="5" t="s">
        <v>145</v>
      </c>
      <c r="J160" s="5" t="s">
        <v>145</v>
      </c>
      <c r="K160" s="5" t="s">
        <v>145</v>
      </c>
      <c r="L160" s="5" t="s">
        <v>145</v>
      </c>
      <c r="M160" s="5" t="s">
        <v>145</v>
      </c>
      <c r="N160" s="5" t="s">
        <v>389</v>
      </c>
      <c r="O160" s="5" t="str" cm="1">
        <f t="array" ref="O160">_xlfn.XLOOKUP(Tabella2[[#This Row],[Corretta]],Tabella2[[#This Row],[opzione 1]:[opzione 10]],Tabella2[[#This Row],[opzione 1]:[opzione 10]])</f>
        <v>0</v>
      </c>
    </row>
    <row r="161" spans="1:15" ht="57.6" x14ac:dyDescent="0.3">
      <c r="A161" s="5" t="s">
        <v>568</v>
      </c>
      <c r="B161" s="5" t="s">
        <v>119</v>
      </c>
      <c r="C161" s="5" t="s">
        <v>816</v>
      </c>
      <c r="D161" s="5" t="s">
        <v>390</v>
      </c>
      <c r="E161" s="5" t="s">
        <v>384</v>
      </c>
      <c r="F161" s="5" t="s">
        <v>391</v>
      </c>
      <c r="G161" s="5" t="s">
        <v>203</v>
      </c>
      <c r="H161" s="5" t="s">
        <v>145</v>
      </c>
      <c r="I161" s="5" t="s">
        <v>145</v>
      </c>
      <c r="J161" s="5" t="s">
        <v>145</v>
      </c>
      <c r="K161" s="5" t="s">
        <v>145</v>
      </c>
      <c r="L161" s="5" t="s">
        <v>145</v>
      </c>
      <c r="M161" s="5" t="s">
        <v>145</v>
      </c>
      <c r="N161" s="5" t="s">
        <v>203</v>
      </c>
      <c r="O161" s="5" t="str" cm="1">
        <f t="array" ref="O161">_xlfn.XLOOKUP(Tabella2[[#This Row],[Corretta]],Tabella2[[#This Row],[opzione 1]:[opzione 10]],Tabella2[[#This Row],[opzione 1]:[opzione 10]])</f>
        <v>Nessuna delle precedenti</v>
      </c>
    </row>
    <row r="162" spans="1:15" ht="43.2" x14ac:dyDescent="0.3">
      <c r="A162" s="5" t="s">
        <v>568</v>
      </c>
      <c r="B162" s="5" t="s">
        <v>119</v>
      </c>
      <c r="C162" s="5" t="s">
        <v>696</v>
      </c>
      <c r="D162" s="5" t="s">
        <v>221</v>
      </c>
      <c r="E162" s="5" t="s">
        <v>222</v>
      </c>
      <c r="F162" s="5" t="s">
        <v>223</v>
      </c>
      <c r="G162" s="5" t="s">
        <v>224</v>
      </c>
      <c r="H162" s="5" t="s">
        <v>145</v>
      </c>
      <c r="I162" s="5" t="s">
        <v>145</v>
      </c>
      <c r="J162" s="5" t="s">
        <v>145</v>
      </c>
      <c r="K162" s="5" t="s">
        <v>145</v>
      </c>
      <c r="L162" s="5" t="s">
        <v>145</v>
      </c>
      <c r="M162" s="5" t="s">
        <v>145</v>
      </c>
      <c r="N162" s="5" t="s">
        <v>223</v>
      </c>
      <c r="O162" s="5" t="str" cm="1">
        <f t="array" ref="O162">_xlfn.XLOOKUP(Tabella2[[#This Row],[Corretta]],Tabella2[[#This Row],[opzione 1]:[opzione 10]],Tabella2[[#This Row],[opzione 1]:[opzione 10]])</f>
        <v>R</v>
      </c>
    </row>
    <row r="163" spans="1:15" ht="43.2" x14ac:dyDescent="0.3">
      <c r="A163" s="5" t="s">
        <v>568</v>
      </c>
      <c r="B163" s="5" t="s">
        <v>119</v>
      </c>
      <c r="C163" s="5" t="s">
        <v>697</v>
      </c>
      <c r="D163" s="5" t="s">
        <v>221</v>
      </c>
      <c r="E163" s="5" t="s">
        <v>222</v>
      </c>
      <c r="F163" s="5" t="s">
        <v>223</v>
      </c>
      <c r="G163" s="5" t="s">
        <v>224</v>
      </c>
      <c r="H163" s="5" t="s">
        <v>145</v>
      </c>
      <c r="I163" s="5" t="s">
        <v>145</v>
      </c>
      <c r="J163" s="5" t="s">
        <v>145</v>
      </c>
      <c r="K163" s="5" t="s">
        <v>145</v>
      </c>
      <c r="L163" s="5" t="s">
        <v>145</v>
      </c>
      <c r="M163" s="5" t="s">
        <v>145</v>
      </c>
      <c r="N163" s="5" t="s">
        <v>221</v>
      </c>
      <c r="O163" s="5" t="str" cm="1">
        <f t="array" ref="O163">_xlfn.XLOOKUP(Tabella2[[#This Row],[Corretta]],Tabella2[[#This Row],[opzione 1]:[opzione 10]],Tabella2[[#This Row],[opzione 1]:[opzione 10]])</f>
        <v>P</v>
      </c>
    </row>
    <row r="164" spans="1:15" ht="57.6" x14ac:dyDescent="0.3">
      <c r="A164" s="5" t="s">
        <v>568</v>
      </c>
      <c r="B164" s="5" t="s">
        <v>119</v>
      </c>
      <c r="C164" s="5" t="s">
        <v>698</v>
      </c>
      <c r="D164" s="5" t="s">
        <v>221</v>
      </c>
      <c r="E164" s="5" t="s">
        <v>222</v>
      </c>
      <c r="F164" s="5" t="s">
        <v>223</v>
      </c>
      <c r="G164" s="5" t="s">
        <v>224</v>
      </c>
      <c r="H164" s="5" t="s">
        <v>145</v>
      </c>
      <c r="I164" s="5" t="s">
        <v>145</v>
      </c>
      <c r="J164" s="5" t="s">
        <v>145</v>
      </c>
      <c r="K164" s="5" t="s">
        <v>145</v>
      </c>
      <c r="L164" s="5" t="s">
        <v>145</v>
      </c>
      <c r="M164" s="5" t="s">
        <v>145</v>
      </c>
      <c r="N164" s="5" t="s">
        <v>223</v>
      </c>
      <c r="O164" s="5" t="str" cm="1">
        <f t="array" ref="O164">_xlfn.XLOOKUP(Tabella2[[#This Row],[Corretta]],Tabella2[[#This Row],[opzione 1]:[opzione 10]],Tabella2[[#This Row],[opzione 1]:[opzione 10]])</f>
        <v>R</v>
      </c>
    </row>
    <row r="165" spans="1:15" ht="43.2" x14ac:dyDescent="0.3">
      <c r="A165" s="5" t="s">
        <v>568</v>
      </c>
      <c r="B165" s="5" t="s">
        <v>119</v>
      </c>
      <c r="C165" s="5" t="s">
        <v>699</v>
      </c>
      <c r="D165" s="5" t="s">
        <v>221</v>
      </c>
      <c r="E165" s="5" t="s">
        <v>222</v>
      </c>
      <c r="F165" s="5" t="s">
        <v>223</v>
      </c>
      <c r="G165" s="5" t="s">
        <v>224</v>
      </c>
      <c r="H165" s="5" t="s">
        <v>145</v>
      </c>
      <c r="I165" s="5" t="s">
        <v>145</v>
      </c>
      <c r="J165" s="5" t="s">
        <v>145</v>
      </c>
      <c r="K165" s="5" t="s">
        <v>145</v>
      </c>
      <c r="L165" s="5" t="s">
        <v>145</v>
      </c>
      <c r="M165" s="5" t="s">
        <v>145</v>
      </c>
      <c r="N165" s="5" t="s">
        <v>222</v>
      </c>
      <c r="O165" s="5" t="str" cm="1">
        <f t="array" ref="O165">_xlfn.XLOOKUP(Tabella2[[#This Row],[Corretta]],Tabella2[[#This Row],[opzione 1]:[opzione 10]],Tabella2[[#This Row],[opzione 1]:[opzione 10]])</f>
        <v>C</v>
      </c>
    </row>
    <row r="166" spans="1:15" ht="43.2" x14ac:dyDescent="0.3">
      <c r="A166" s="5" t="s">
        <v>568</v>
      </c>
      <c r="B166" s="5" t="s">
        <v>119</v>
      </c>
      <c r="C166" s="5" t="s">
        <v>837</v>
      </c>
      <c r="D166" s="5" t="s">
        <v>221</v>
      </c>
      <c r="E166" s="5" t="s">
        <v>222</v>
      </c>
      <c r="F166" s="5" t="s">
        <v>223</v>
      </c>
      <c r="G166" s="5" t="s">
        <v>224</v>
      </c>
      <c r="H166" s="5" t="s">
        <v>145</v>
      </c>
      <c r="I166" s="5" t="s">
        <v>145</v>
      </c>
      <c r="J166" s="5" t="s">
        <v>145</v>
      </c>
      <c r="K166" s="5" t="s">
        <v>145</v>
      </c>
      <c r="L166" s="5" t="s">
        <v>145</v>
      </c>
      <c r="M166" s="5" t="s">
        <v>145</v>
      </c>
      <c r="N166" s="5" t="s">
        <v>224</v>
      </c>
      <c r="O166" s="5" t="str" cm="1">
        <f t="array" ref="O166">_xlfn.XLOOKUP(Tabella2[[#This Row],[Corretta]],Tabella2[[#This Row],[opzione 1]:[opzione 10]],Tabella2[[#This Row],[opzione 1]:[opzione 10]])</f>
        <v>T</v>
      </c>
    </row>
    <row r="167" spans="1:15" ht="43.2" x14ac:dyDescent="0.3">
      <c r="A167" s="5" t="s">
        <v>568</v>
      </c>
      <c r="B167" s="5" t="s">
        <v>119</v>
      </c>
      <c r="C167" s="5" t="s">
        <v>700</v>
      </c>
      <c r="D167" s="5" t="s">
        <v>221</v>
      </c>
      <c r="E167" s="5" t="s">
        <v>222</v>
      </c>
      <c r="F167" s="5" t="s">
        <v>223</v>
      </c>
      <c r="G167" s="5" t="s">
        <v>224</v>
      </c>
      <c r="H167" s="5" t="s">
        <v>145</v>
      </c>
      <c r="I167" s="5" t="s">
        <v>145</v>
      </c>
      <c r="J167" s="5" t="s">
        <v>145</v>
      </c>
      <c r="K167" s="5" t="s">
        <v>145</v>
      </c>
      <c r="L167" s="5" t="s">
        <v>145</v>
      </c>
      <c r="M167" s="5" t="s">
        <v>145</v>
      </c>
      <c r="N167" s="5" t="s">
        <v>221</v>
      </c>
      <c r="O167" s="5" t="str" cm="1">
        <f t="array" ref="O167">_xlfn.XLOOKUP(Tabella2[[#This Row],[Corretta]],Tabella2[[#This Row],[opzione 1]:[opzione 10]],Tabella2[[#This Row],[opzione 1]:[opzione 10]])</f>
        <v>P</v>
      </c>
    </row>
    <row r="168" spans="1:15" ht="43.2" x14ac:dyDescent="0.3">
      <c r="A168" s="5" t="s">
        <v>568</v>
      </c>
      <c r="B168" s="5" t="s">
        <v>119</v>
      </c>
      <c r="C168" s="5" t="s">
        <v>701</v>
      </c>
      <c r="D168" s="5" t="s">
        <v>221</v>
      </c>
      <c r="E168" s="5" t="s">
        <v>222</v>
      </c>
      <c r="F168" s="5" t="s">
        <v>223</v>
      </c>
      <c r="G168" s="5" t="s">
        <v>224</v>
      </c>
      <c r="H168" s="5" t="s">
        <v>145</v>
      </c>
      <c r="I168" s="5" t="s">
        <v>145</v>
      </c>
      <c r="J168" s="5" t="s">
        <v>145</v>
      </c>
      <c r="K168" s="5" t="s">
        <v>145</v>
      </c>
      <c r="L168" s="5" t="s">
        <v>145</v>
      </c>
      <c r="M168" s="5" t="s">
        <v>145</v>
      </c>
      <c r="N168" s="5" t="s">
        <v>222</v>
      </c>
      <c r="O168" s="5" t="str" cm="1">
        <f t="array" ref="O168">_xlfn.XLOOKUP(Tabella2[[#This Row],[Corretta]],Tabella2[[#This Row],[opzione 1]:[opzione 10]],Tabella2[[#This Row],[opzione 1]:[opzione 10]])</f>
        <v>C</v>
      </c>
    </row>
    <row r="169" spans="1:15" x14ac:dyDescent="0.3">
      <c r="A169" s="5" t="s">
        <v>568</v>
      </c>
      <c r="B169" s="5" t="s">
        <v>119</v>
      </c>
      <c r="C169" s="5" t="s">
        <v>813</v>
      </c>
      <c r="D169" s="5">
        <v>4</v>
      </c>
      <c r="E169" s="5">
        <v>1</v>
      </c>
      <c r="F169" s="5">
        <v>3</v>
      </c>
      <c r="G169" s="5">
        <v>2</v>
      </c>
      <c r="H169" s="5" t="s">
        <v>145</v>
      </c>
      <c r="I169" s="5" t="s">
        <v>145</v>
      </c>
      <c r="J169" s="5" t="s">
        <v>145</v>
      </c>
      <c r="K169" s="5" t="s">
        <v>145</v>
      </c>
      <c r="L169" s="5" t="s">
        <v>145</v>
      </c>
      <c r="M169" s="5" t="s">
        <v>145</v>
      </c>
      <c r="N169" s="5">
        <v>2</v>
      </c>
      <c r="O169" s="5" cm="1">
        <f t="array" ref="O169">_xlfn.XLOOKUP(Tabella2[[#This Row],[Corretta]],Tabella2[[#This Row],[opzione 1]:[opzione 10]],Tabella2[[#This Row],[opzione 1]:[opzione 10]])</f>
        <v>2</v>
      </c>
    </row>
    <row r="170" spans="1:15" ht="86.4" x14ac:dyDescent="0.3">
      <c r="A170" s="5" t="s">
        <v>568</v>
      </c>
      <c r="B170" s="5" t="s">
        <v>119</v>
      </c>
      <c r="C170" s="5" t="s">
        <v>723</v>
      </c>
      <c r="D170" s="5" t="s">
        <v>392</v>
      </c>
      <c r="E170" s="5" t="s">
        <v>533</v>
      </c>
      <c r="F170" s="5" t="s">
        <v>393</v>
      </c>
      <c r="G170" s="5" t="s">
        <v>724</v>
      </c>
      <c r="H170" s="5" t="s">
        <v>145</v>
      </c>
      <c r="I170" s="5" t="s">
        <v>145</v>
      </c>
      <c r="J170" s="5" t="s">
        <v>145</v>
      </c>
      <c r="K170" s="5" t="s">
        <v>145</v>
      </c>
      <c r="L170" s="5" t="s">
        <v>145</v>
      </c>
      <c r="M170" s="5" t="s">
        <v>145</v>
      </c>
      <c r="N170" s="5" t="s">
        <v>533</v>
      </c>
      <c r="O170" s="5" t="str" cm="1">
        <f t="array" ref="O170">_xlfn.XLOOKUP(Tabella2[[#This Row],[Corretta]],Tabella2[[#This Row],[opzione 1]:[opzione 10]],Tabella2[[#This Row],[opzione 1]:[opzione 10]])</f>
        <v>Esternalizzazione delle attività preparatorie</v>
      </c>
    </row>
    <row r="171" spans="1:15" ht="129.6" x14ac:dyDescent="0.3">
      <c r="A171" s="5" t="s">
        <v>568</v>
      </c>
      <c r="B171" s="5" t="s">
        <v>119</v>
      </c>
      <c r="C171" s="5" t="s">
        <v>725</v>
      </c>
      <c r="D171" s="5" t="s">
        <v>392</v>
      </c>
      <c r="E171" s="5" t="s">
        <v>533</v>
      </c>
      <c r="F171" s="5" t="s">
        <v>393</v>
      </c>
      <c r="G171" s="5" t="s">
        <v>724</v>
      </c>
      <c r="H171" s="5" t="s">
        <v>145</v>
      </c>
      <c r="I171" s="5" t="s">
        <v>145</v>
      </c>
      <c r="J171" s="5" t="s">
        <v>145</v>
      </c>
      <c r="K171" s="5" t="s">
        <v>145</v>
      </c>
      <c r="L171" s="5" t="s">
        <v>145</v>
      </c>
      <c r="M171" s="5" t="s">
        <v>145</v>
      </c>
      <c r="N171" s="5" t="s">
        <v>392</v>
      </c>
      <c r="O171" s="5" t="str" cm="1">
        <f t="array" ref="O171">_xlfn.XLOOKUP(Tabella2[[#This Row],[Corretta]],Tabella2[[#This Row],[opzione 1]:[opzione 10]],Tabella2[[#This Row],[opzione 1]:[opzione 10]])</f>
        <v>Riduzione della durata delle attività fatte prima e dopo il set-up</v>
      </c>
    </row>
    <row r="172" spans="1:15" ht="57.6" x14ac:dyDescent="0.3">
      <c r="A172" s="5" t="s">
        <v>568</v>
      </c>
      <c r="B172" s="5" t="s">
        <v>119</v>
      </c>
      <c r="C172" s="5" t="s">
        <v>817</v>
      </c>
      <c r="D172" s="5" t="s">
        <v>225</v>
      </c>
      <c r="E172" s="5" t="s">
        <v>226</v>
      </c>
      <c r="F172" s="5" t="s">
        <v>222</v>
      </c>
      <c r="G172" s="5" t="s">
        <v>377</v>
      </c>
      <c r="H172" s="5" t="s">
        <v>145</v>
      </c>
      <c r="I172" s="5" t="s">
        <v>145</v>
      </c>
      <c r="J172" s="5" t="s">
        <v>145</v>
      </c>
      <c r="K172" s="5" t="s">
        <v>145</v>
      </c>
      <c r="L172" s="5" t="s">
        <v>145</v>
      </c>
      <c r="M172" s="5" t="s">
        <v>145</v>
      </c>
      <c r="N172" s="5" t="s">
        <v>377</v>
      </c>
      <c r="O172" s="5" t="str" cm="1">
        <f t="array" ref="O172">_xlfn.XLOOKUP(Tabella2[[#This Row],[Corretta]],Tabella2[[#This Row],[opzione 1]:[opzione 10]],Tabella2[[#This Row],[opzione 1]:[opzione 10]])</f>
        <v>Non si può determinare</v>
      </c>
    </row>
    <row r="173" spans="1:15" ht="43.2" x14ac:dyDescent="0.3">
      <c r="A173" s="5" t="s">
        <v>568</v>
      </c>
      <c r="B173" s="5" t="s">
        <v>119</v>
      </c>
      <c r="C173" s="5" t="s">
        <v>818</v>
      </c>
      <c r="D173" s="5" t="s">
        <v>225</v>
      </c>
      <c r="E173" s="5" t="s">
        <v>226</v>
      </c>
      <c r="F173" s="5" t="s">
        <v>222</v>
      </c>
      <c r="G173" s="5" t="s">
        <v>377</v>
      </c>
      <c r="H173" s="5" t="s">
        <v>145</v>
      </c>
      <c r="I173" s="5" t="s">
        <v>145</v>
      </c>
      <c r="J173" s="5" t="s">
        <v>145</v>
      </c>
      <c r="K173" s="5" t="s">
        <v>145</v>
      </c>
      <c r="L173" s="5" t="s">
        <v>145</v>
      </c>
      <c r="M173" s="5" t="s">
        <v>145</v>
      </c>
      <c r="N173" s="5" t="s">
        <v>226</v>
      </c>
      <c r="O173" s="5" t="str" cm="1">
        <f t="array" ref="O173">_xlfn.XLOOKUP(Tabella2[[#This Row],[Corretta]],Tabella2[[#This Row],[opzione 1]:[opzione 10]],Tabella2[[#This Row],[opzione 1]:[opzione 10]])</f>
        <v>B</v>
      </c>
    </row>
    <row r="174" spans="1:15" ht="72" x14ac:dyDescent="0.3">
      <c r="A174" s="5" t="s">
        <v>568</v>
      </c>
      <c r="B174" s="5" t="s">
        <v>119</v>
      </c>
      <c r="C174" s="5" t="s">
        <v>824</v>
      </c>
      <c r="D174" s="5" t="s">
        <v>227</v>
      </c>
      <c r="E174" s="5" t="s">
        <v>228</v>
      </c>
      <c r="F174" s="5" t="s">
        <v>229</v>
      </c>
      <c r="G174" s="5" t="s">
        <v>377</v>
      </c>
      <c r="H174" s="5" t="s">
        <v>145</v>
      </c>
      <c r="I174" s="5" t="s">
        <v>145</v>
      </c>
      <c r="J174" s="5" t="s">
        <v>145</v>
      </c>
      <c r="K174" s="5" t="s">
        <v>145</v>
      </c>
      <c r="L174" s="5" t="s">
        <v>145</v>
      </c>
      <c r="M174" s="5" t="s">
        <v>145</v>
      </c>
      <c r="N174" s="5" t="s">
        <v>227</v>
      </c>
      <c r="O174" s="5" t="str" cm="1">
        <f t="array" ref="O174">_xlfn.XLOOKUP(Tabella2[[#This Row],[Corretta]],Tabella2[[#This Row],[opzione 1]:[opzione 10]],Tabella2[[#This Row],[opzione 1]:[opzione 10]])</f>
        <v>X</v>
      </c>
    </row>
    <row r="175" spans="1:15" x14ac:dyDescent="0.3">
      <c r="A175" s="5" t="s">
        <v>568</v>
      </c>
      <c r="B175" s="5" t="s">
        <v>119</v>
      </c>
      <c r="C175" s="5" t="s">
        <v>819</v>
      </c>
      <c r="D175" s="5" t="s">
        <v>394</v>
      </c>
      <c r="E175" s="5" t="s">
        <v>113</v>
      </c>
      <c r="F175" s="5" t="s">
        <v>156</v>
      </c>
      <c r="G175" s="5" t="s">
        <v>203</v>
      </c>
      <c r="H175" s="5" t="s">
        <v>145</v>
      </c>
      <c r="I175" s="5" t="s">
        <v>145</v>
      </c>
      <c r="J175" s="5" t="s">
        <v>145</v>
      </c>
      <c r="K175" s="5" t="s">
        <v>145</v>
      </c>
      <c r="L175" s="5" t="s">
        <v>145</v>
      </c>
      <c r="M175" s="5" t="s">
        <v>145</v>
      </c>
      <c r="N175" s="5" t="s">
        <v>113</v>
      </c>
      <c r="O175" s="5" t="str" cm="1">
        <f t="array" ref="O175">_xlfn.XLOOKUP(Tabella2[[#This Row],[Corretta]],Tabella2[[#This Row],[opzione 1]:[opzione 10]],Tabella2[[#This Row],[opzione 1]:[opzione 10]])</f>
        <v>5S</v>
      </c>
    </row>
    <row r="176" spans="1:15" ht="129.6" x14ac:dyDescent="0.3">
      <c r="A176" s="5" t="s">
        <v>568</v>
      </c>
      <c r="B176" s="5" t="s">
        <v>230</v>
      </c>
      <c r="C176" s="5" t="s">
        <v>823</v>
      </c>
      <c r="D176" s="5" t="s">
        <v>665</v>
      </c>
      <c r="E176" s="5" t="s">
        <v>666</v>
      </c>
      <c r="F176" s="5" t="s">
        <v>667</v>
      </c>
      <c r="G176" s="5" t="s">
        <v>668</v>
      </c>
      <c r="H176" s="5" t="s">
        <v>669</v>
      </c>
      <c r="I176" s="5" t="s">
        <v>145</v>
      </c>
      <c r="J176" s="5" t="s">
        <v>145</v>
      </c>
      <c r="K176" s="5" t="s">
        <v>145</v>
      </c>
      <c r="L176" s="5" t="s">
        <v>145</v>
      </c>
      <c r="M176" s="5" t="s">
        <v>145</v>
      </c>
      <c r="N176" s="5" t="s">
        <v>666</v>
      </c>
      <c r="O176" s="5" t="str" cm="1">
        <f t="array" ref="O176">_xlfn.XLOOKUP(Tabella2[[#This Row],[Corretta]],Tabella2[[#This Row],[opzione 1]:[opzione 10]],Tabella2[[#This Row],[opzione 1]:[opzione 10]])</f>
        <v>ATO</v>
      </c>
    </row>
    <row r="177" spans="1:15" ht="129.6" x14ac:dyDescent="0.3">
      <c r="A177" s="5" t="s">
        <v>568</v>
      </c>
      <c r="B177" s="5" t="s">
        <v>230</v>
      </c>
      <c r="C177" s="5" t="s">
        <v>822</v>
      </c>
      <c r="D177" s="5" t="s">
        <v>665</v>
      </c>
      <c r="E177" s="5" t="s">
        <v>666</v>
      </c>
      <c r="F177" s="5" t="s">
        <v>667</v>
      </c>
      <c r="G177" s="5" t="s">
        <v>668</v>
      </c>
      <c r="H177" s="5" t="s">
        <v>669</v>
      </c>
      <c r="I177" s="5" t="s">
        <v>145</v>
      </c>
      <c r="J177" s="5" t="s">
        <v>145</v>
      </c>
      <c r="K177" s="5" t="s">
        <v>145</v>
      </c>
      <c r="L177" s="5" t="s">
        <v>145</v>
      </c>
      <c r="M177" s="5" t="s">
        <v>145</v>
      </c>
      <c r="N177" s="5" t="s">
        <v>665</v>
      </c>
      <c r="O177" s="5" t="str" cm="1">
        <f t="array" ref="O177">_xlfn.XLOOKUP(Tabella2[[#This Row],[Corretta]],Tabella2[[#This Row],[opzione 1]:[opzione 10]],Tabella2[[#This Row],[opzione 1]:[opzione 10]])</f>
        <v>MTS</v>
      </c>
    </row>
    <row r="178" spans="1:15" ht="129.6" x14ac:dyDescent="0.3">
      <c r="A178" s="5" t="s">
        <v>568</v>
      </c>
      <c r="B178" s="5" t="s">
        <v>230</v>
      </c>
      <c r="C178" s="5" t="s">
        <v>821</v>
      </c>
      <c r="D178" s="5" t="s">
        <v>665</v>
      </c>
      <c r="E178" s="5" t="s">
        <v>666</v>
      </c>
      <c r="F178" s="5" t="s">
        <v>667</v>
      </c>
      <c r="G178" s="5" t="s">
        <v>668</v>
      </c>
      <c r="H178" s="5" t="s">
        <v>669</v>
      </c>
      <c r="I178" s="5" t="s">
        <v>145</v>
      </c>
      <c r="J178" s="5" t="s">
        <v>145</v>
      </c>
      <c r="K178" s="5" t="s">
        <v>145</v>
      </c>
      <c r="L178" s="5" t="s">
        <v>145</v>
      </c>
      <c r="M178" s="5" t="s">
        <v>145</v>
      </c>
      <c r="N178" s="5" t="s">
        <v>666</v>
      </c>
      <c r="O178" s="5" t="str" cm="1">
        <f t="array" ref="O178">_xlfn.XLOOKUP(Tabella2[[#This Row],[Corretta]],Tabella2[[#This Row],[opzione 1]:[opzione 10]],Tabella2[[#This Row],[opzione 1]:[opzione 10]])</f>
        <v>ATO</v>
      </c>
    </row>
    <row r="179" spans="1:15" ht="129.6" x14ac:dyDescent="0.3">
      <c r="A179" s="5" t="s">
        <v>568</v>
      </c>
      <c r="B179" s="5" t="s">
        <v>230</v>
      </c>
      <c r="C179" s="5" t="s">
        <v>820</v>
      </c>
      <c r="D179" s="5" t="s">
        <v>665</v>
      </c>
      <c r="E179" s="5" t="s">
        <v>666</v>
      </c>
      <c r="F179" s="5" t="s">
        <v>667</v>
      </c>
      <c r="G179" s="5" t="s">
        <v>668</v>
      </c>
      <c r="H179" s="5" t="s">
        <v>669</v>
      </c>
      <c r="I179" s="5" t="s">
        <v>145</v>
      </c>
      <c r="J179" s="5" t="s">
        <v>145</v>
      </c>
      <c r="K179" s="5" t="s">
        <v>145</v>
      </c>
      <c r="L179" s="5" t="s">
        <v>145</v>
      </c>
      <c r="M179" s="5" t="s">
        <v>145</v>
      </c>
      <c r="N179" s="5" t="s">
        <v>669</v>
      </c>
      <c r="O179" s="5" t="str" cm="1">
        <f t="array" ref="O179">_xlfn.XLOOKUP(Tabella2[[#This Row],[Corretta]],Tabella2[[#This Row],[opzione 1]:[opzione 10]],Tabella2[[#This Row],[opzione 1]:[opzione 10]])</f>
        <v>ETO</v>
      </c>
    </row>
    <row r="180" spans="1:15" ht="43.2" x14ac:dyDescent="0.3">
      <c r="A180" s="5" t="s">
        <v>568</v>
      </c>
      <c r="B180" s="5" t="s">
        <v>230</v>
      </c>
      <c r="C180" s="5" t="s">
        <v>656</v>
      </c>
      <c r="D180" s="5" t="s">
        <v>395</v>
      </c>
      <c r="E180" s="5" t="s">
        <v>396</v>
      </c>
      <c r="F180" s="5" t="s">
        <v>397</v>
      </c>
      <c r="G180" s="5" t="s">
        <v>398</v>
      </c>
      <c r="H180" s="5" t="s">
        <v>145</v>
      </c>
      <c r="I180" s="5" t="s">
        <v>145</v>
      </c>
      <c r="J180" s="5" t="s">
        <v>145</v>
      </c>
      <c r="K180" s="5" t="s">
        <v>145</v>
      </c>
      <c r="L180" s="5" t="s">
        <v>145</v>
      </c>
      <c r="M180" s="5" t="s">
        <v>145</v>
      </c>
      <c r="N180" s="5" t="s">
        <v>395</v>
      </c>
      <c r="O180" s="5" t="str" cm="1">
        <f t="array" ref="O180">_xlfn.XLOOKUP(Tabella2[[#This Row],[Corretta]],Tabella2[[#This Row],[opzione 1]:[opzione 10]],Tabella2[[#This Row],[opzione 1]:[opzione 10]])</f>
        <v>Push</v>
      </c>
    </row>
    <row r="181" spans="1:15" ht="43.2" x14ac:dyDescent="0.3">
      <c r="A181" s="5" t="s">
        <v>568</v>
      </c>
      <c r="B181" s="5" t="s">
        <v>230</v>
      </c>
      <c r="C181" s="5" t="s">
        <v>702</v>
      </c>
      <c r="D181" s="5" t="s">
        <v>395</v>
      </c>
      <c r="E181" s="5" t="s">
        <v>396</v>
      </c>
      <c r="F181" s="5" t="s">
        <v>397</v>
      </c>
      <c r="G181" s="5" t="s">
        <v>398</v>
      </c>
      <c r="H181" s="5" t="s">
        <v>145</v>
      </c>
      <c r="I181" s="5" t="s">
        <v>145</v>
      </c>
      <c r="J181" s="5" t="s">
        <v>145</v>
      </c>
      <c r="K181" s="5" t="s">
        <v>145</v>
      </c>
      <c r="L181" s="5" t="s">
        <v>145</v>
      </c>
      <c r="M181" s="5" t="s">
        <v>145</v>
      </c>
      <c r="N181" s="5" t="s">
        <v>396</v>
      </c>
      <c r="O181" s="5" t="str" cm="1">
        <f t="array" ref="O181">_xlfn.XLOOKUP(Tabella2[[#This Row],[Corretta]],Tabella2[[#This Row],[opzione 1]:[opzione 10]],Tabella2[[#This Row],[opzione 1]:[opzione 10]])</f>
        <v>Pull</v>
      </c>
    </row>
    <row r="182" spans="1:15" ht="43.2" x14ac:dyDescent="0.3">
      <c r="A182" s="5" t="s">
        <v>568</v>
      </c>
      <c r="B182" s="5" t="s">
        <v>230</v>
      </c>
      <c r="C182" s="5" t="s">
        <v>657</v>
      </c>
      <c r="D182" s="5" t="s">
        <v>395</v>
      </c>
      <c r="E182" s="5" t="s">
        <v>396</v>
      </c>
      <c r="F182" s="5" t="s">
        <v>397</v>
      </c>
      <c r="G182" s="5" t="s">
        <v>398</v>
      </c>
      <c r="H182" s="5" t="s">
        <v>145</v>
      </c>
      <c r="I182" s="5" t="s">
        <v>145</v>
      </c>
      <c r="J182" s="5" t="s">
        <v>145</v>
      </c>
      <c r="K182" s="5" t="s">
        <v>145</v>
      </c>
      <c r="L182" s="5" t="s">
        <v>145</v>
      </c>
      <c r="M182" s="5" t="s">
        <v>145</v>
      </c>
      <c r="N182" s="5" t="s">
        <v>395</v>
      </c>
      <c r="O182" s="5" t="str" cm="1">
        <f t="array" ref="O182">_xlfn.XLOOKUP(Tabella2[[#This Row],[Corretta]],Tabella2[[#This Row],[opzione 1]:[opzione 10]],Tabella2[[#This Row],[opzione 1]:[opzione 10]])</f>
        <v>Push</v>
      </c>
    </row>
    <row r="183" spans="1:15" ht="57.6" x14ac:dyDescent="0.3">
      <c r="A183" s="5" t="s">
        <v>568</v>
      </c>
      <c r="B183" s="5" t="s">
        <v>230</v>
      </c>
      <c r="C183" s="5" t="s">
        <v>703</v>
      </c>
      <c r="D183" s="5" t="s">
        <v>395</v>
      </c>
      <c r="E183" s="5" t="s">
        <v>396</v>
      </c>
      <c r="F183" s="5" t="s">
        <v>397</v>
      </c>
      <c r="G183" s="5" t="s">
        <v>398</v>
      </c>
      <c r="H183" s="5" t="s">
        <v>145</v>
      </c>
      <c r="I183" s="5" t="s">
        <v>145</v>
      </c>
      <c r="J183" s="5" t="s">
        <v>145</v>
      </c>
      <c r="K183" s="5" t="s">
        <v>145</v>
      </c>
      <c r="L183" s="5" t="s">
        <v>145</v>
      </c>
      <c r="M183" s="5" t="s">
        <v>145</v>
      </c>
      <c r="N183" s="5" t="s">
        <v>396</v>
      </c>
      <c r="O183" s="5" t="str" cm="1">
        <f t="array" ref="O183">_xlfn.XLOOKUP(Tabella2[[#This Row],[Corretta]],Tabella2[[#This Row],[opzione 1]:[opzione 10]],Tabella2[[#This Row],[opzione 1]:[opzione 10]])</f>
        <v>Pull</v>
      </c>
    </row>
    <row r="184" spans="1:15" ht="86.4" x14ac:dyDescent="0.3">
      <c r="A184" s="5" t="s">
        <v>568</v>
      </c>
      <c r="B184" s="5" t="s">
        <v>230</v>
      </c>
      <c r="C184" s="5" t="s">
        <v>658</v>
      </c>
      <c r="D184" s="5" t="s">
        <v>399</v>
      </c>
      <c r="E184" s="5" t="s">
        <v>400</v>
      </c>
      <c r="F184" s="5" t="s">
        <v>401</v>
      </c>
      <c r="G184" s="5" t="s">
        <v>203</v>
      </c>
      <c r="H184" s="5" t="s">
        <v>145</v>
      </c>
      <c r="I184" s="5" t="s">
        <v>145</v>
      </c>
      <c r="J184" s="5" t="s">
        <v>145</v>
      </c>
      <c r="K184" s="5" t="s">
        <v>145</v>
      </c>
      <c r="L184" s="5" t="s">
        <v>145</v>
      </c>
      <c r="M184" s="5" t="s">
        <v>145</v>
      </c>
      <c r="N184" s="5" t="s">
        <v>400</v>
      </c>
      <c r="O184" s="5" t="str" cm="1">
        <f t="array" ref="O184">_xlfn.XLOOKUP(Tabella2[[#This Row],[Corretta]],Tabella2[[#This Row],[opzione 1]:[opzione 10]],Tabella2[[#This Row],[opzione 1]:[opzione 10]])</f>
        <v>A monte della stazione di assemblaggio</v>
      </c>
    </row>
    <row r="185" spans="1:15" ht="86.4" x14ac:dyDescent="0.3">
      <c r="A185" s="5" t="s">
        <v>568</v>
      </c>
      <c r="B185" s="5" t="s">
        <v>230</v>
      </c>
      <c r="C185" s="5" t="s">
        <v>659</v>
      </c>
      <c r="D185" s="5" t="s">
        <v>399</v>
      </c>
      <c r="E185" s="5" t="s">
        <v>400</v>
      </c>
      <c r="F185" s="5" t="s">
        <v>401</v>
      </c>
      <c r="G185" s="5" t="s">
        <v>203</v>
      </c>
      <c r="H185" s="5" t="s">
        <v>145</v>
      </c>
      <c r="I185" s="5" t="s">
        <v>145</v>
      </c>
      <c r="J185" s="5" t="s">
        <v>145</v>
      </c>
      <c r="K185" s="5" t="s">
        <v>145</v>
      </c>
      <c r="L185" s="5" t="s">
        <v>145</v>
      </c>
      <c r="M185" s="5" t="s">
        <v>145</v>
      </c>
      <c r="N185" s="5" t="s">
        <v>399</v>
      </c>
      <c r="O185" s="5" t="str" cm="1">
        <f t="array" ref="O185">_xlfn.XLOOKUP(Tabella2[[#This Row],[Corretta]],Tabella2[[#This Row],[opzione 1]:[opzione 10]],Tabella2[[#This Row],[opzione 1]:[opzione 10]])</f>
        <v>A valle della stazione di assemblaggio</v>
      </c>
    </row>
    <row r="186" spans="1:15" ht="72" x14ac:dyDescent="0.3">
      <c r="A186" s="5" t="s">
        <v>568</v>
      </c>
      <c r="B186" s="5" t="s">
        <v>230</v>
      </c>
      <c r="C186" s="5" t="s">
        <v>660</v>
      </c>
      <c r="D186" s="5" t="s">
        <v>402</v>
      </c>
      <c r="E186" s="5" t="s">
        <v>403</v>
      </c>
      <c r="F186" s="5" t="s">
        <v>401</v>
      </c>
      <c r="G186" s="5" t="s">
        <v>203</v>
      </c>
      <c r="H186" s="5" t="s">
        <v>145</v>
      </c>
      <c r="I186" s="5" t="s">
        <v>145</v>
      </c>
      <c r="J186" s="5" t="s">
        <v>145</v>
      </c>
      <c r="K186" s="5" t="s">
        <v>145</v>
      </c>
      <c r="L186" s="5" t="s">
        <v>145</v>
      </c>
      <c r="M186" s="5" t="s">
        <v>145</v>
      </c>
      <c r="N186" s="5" t="s">
        <v>401</v>
      </c>
      <c r="O186" s="5" t="str" cm="1">
        <f t="array" ref="O186">_xlfn.XLOOKUP(Tabella2[[#This Row],[Corretta]],Tabella2[[#This Row],[opzione 1]:[opzione 10]],Tabella2[[#This Row],[opzione 1]:[opzione 10]])</f>
        <v>Non è necessario disaccopiare</v>
      </c>
    </row>
    <row r="187" spans="1:15" ht="57.6" x14ac:dyDescent="0.3">
      <c r="A187" s="5" t="s">
        <v>568</v>
      </c>
      <c r="B187" s="5" t="s">
        <v>230</v>
      </c>
      <c r="C187" s="5" t="s">
        <v>661</v>
      </c>
      <c r="D187" s="5" t="s">
        <v>399</v>
      </c>
      <c r="E187" s="5" t="s">
        <v>400</v>
      </c>
      <c r="F187" s="5" t="s">
        <v>401</v>
      </c>
      <c r="G187" s="5" t="s">
        <v>203</v>
      </c>
      <c r="H187" s="5" t="s">
        <v>145</v>
      </c>
      <c r="I187" s="5" t="s">
        <v>145</v>
      </c>
      <c r="J187" s="5" t="s">
        <v>145</v>
      </c>
      <c r="K187" s="5" t="s">
        <v>145</v>
      </c>
      <c r="L187" s="5" t="s">
        <v>145</v>
      </c>
      <c r="M187" s="5" t="s">
        <v>145</v>
      </c>
      <c r="N187" s="5" t="s">
        <v>203</v>
      </c>
      <c r="O187" s="5" t="str" cm="1">
        <f t="array" ref="O187">_xlfn.XLOOKUP(Tabella2[[#This Row],[Corretta]],Tabella2[[#This Row],[opzione 1]:[opzione 10]],Tabella2[[#This Row],[opzione 1]:[opzione 10]])</f>
        <v>Nessuna delle precedenti</v>
      </c>
    </row>
    <row r="188" spans="1:15" ht="28.8" x14ac:dyDescent="0.3">
      <c r="A188" s="5" t="s">
        <v>568</v>
      </c>
      <c r="B188" s="5" t="s">
        <v>230</v>
      </c>
      <c r="C188" s="5" t="s">
        <v>662</v>
      </c>
      <c r="D188" s="5" t="s">
        <v>404</v>
      </c>
      <c r="E188" s="5" t="s">
        <v>405</v>
      </c>
      <c r="F188" s="5" t="s">
        <v>406</v>
      </c>
      <c r="G188" s="5" t="s">
        <v>407</v>
      </c>
      <c r="H188" s="5" t="s">
        <v>145</v>
      </c>
      <c r="I188" s="5" t="s">
        <v>145</v>
      </c>
      <c r="J188" s="5" t="s">
        <v>145</v>
      </c>
      <c r="K188" s="5" t="s">
        <v>145</v>
      </c>
      <c r="L188" s="5" t="s">
        <v>145</v>
      </c>
      <c r="M188" s="5" t="s">
        <v>145</v>
      </c>
      <c r="N188" s="5" t="s">
        <v>404</v>
      </c>
      <c r="O188" s="5" t="str" cm="1">
        <f t="array" ref="O188">_xlfn.XLOOKUP(Tabella2[[#This Row],[Corretta]],Tabella2[[#This Row],[opzione 1]:[opzione 10]],Tabella2[[#This Row],[opzione 1]:[opzione 10]])</f>
        <v>Push con scorta</v>
      </c>
    </row>
    <row r="189" spans="1:15" ht="43.2" x14ac:dyDescent="0.3">
      <c r="A189" s="5" t="s">
        <v>568</v>
      </c>
      <c r="B189" s="5" t="s">
        <v>230</v>
      </c>
      <c r="C189" s="5" t="s">
        <v>663</v>
      </c>
      <c r="D189" s="5" t="s">
        <v>404</v>
      </c>
      <c r="E189" s="5" t="s">
        <v>405</v>
      </c>
      <c r="F189" s="5" t="s">
        <v>406</v>
      </c>
      <c r="G189" s="5" t="s">
        <v>407</v>
      </c>
      <c r="H189" s="5" t="s">
        <v>145</v>
      </c>
      <c r="I189" s="5" t="s">
        <v>145</v>
      </c>
      <c r="J189" s="5" t="s">
        <v>145</v>
      </c>
      <c r="K189" s="5" t="s">
        <v>145</v>
      </c>
      <c r="L189" s="5" t="s">
        <v>145</v>
      </c>
      <c r="M189" s="5" t="s">
        <v>145</v>
      </c>
      <c r="N189" s="5" t="s">
        <v>405</v>
      </c>
      <c r="O189" s="5" t="str" cm="1">
        <f t="array" ref="O189">_xlfn.XLOOKUP(Tabella2[[#This Row],[Corretta]],Tabella2[[#This Row],[opzione 1]:[opzione 10]],Tabella2[[#This Row],[opzione 1]:[opzione 10]])</f>
        <v>Pull con supermarket</v>
      </c>
    </row>
    <row r="190" spans="1:15" ht="57.6" x14ac:dyDescent="0.3">
      <c r="A190" s="5" t="s">
        <v>568</v>
      </c>
      <c r="B190" s="5" t="s">
        <v>230</v>
      </c>
      <c r="C190" s="5" t="s">
        <v>706</v>
      </c>
      <c r="D190" s="5" t="s">
        <v>404</v>
      </c>
      <c r="E190" s="5" t="s">
        <v>405</v>
      </c>
      <c r="F190" s="5" t="s">
        <v>406</v>
      </c>
      <c r="G190" s="5" t="s">
        <v>407</v>
      </c>
      <c r="H190" s="5" t="s">
        <v>145</v>
      </c>
      <c r="I190" s="5" t="s">
        <v>145</v>
      </c>
      <c r="J190" s="5" t="s">
        <v>145</v>
      </c>
      <c r="K190" s="5" t="s">
        <v>145</v>
      </c>
      <c r="L190" s="5" t="s">
        <v>145</v>
      </c>
      <c r="M190" s="5" t="s">
        <v>145</v>
      </c>
      <c r="N190" s="5" t="s">
        <v>406</v>
      </c>
      <c r="O190" s="5" t="str" cm="1">
        <f t="array" ref="O190">_xlfn.XLOOKUP(Tabella2[[#This Row],[Corretta]],Tabella2[[#This Row],[opzione 1]:[opzione 10]],Tabella2[[#This Row],[opzione 1]:[opzione 10]])</f>
        <v>Sequenced pull</v>
      </c>
    </row>
    <row r="191" spans="1:15" ht="43.2" x14ac:dyDescent="0.3">
      <c r="A191" s="5" t="s">
        <v>568</v>
      </c>
      <c r="B191" s="5" t="s">
        <v>230</v>
      </c>
      <c r="C191" s="5" t="s">
        <v>664</v>
      </c>
      <c r="D191" s="5" t="s">
        <v>404</v>
      </c>
      <c r="E191" s="5" t="s">
        <v>405</v>
      </c>
      <c r="F191" s="5" t="s">
        <v>406</v>
      </c>
      <c r="G191" s="5" t="s">
        <v>407</v>
      </c>
      <c r="H191" s="5" t="s">
        <v>145</v>
      </c>
      <c r="I191" s="5" t="s">
        <v>145</v>
      </c>
      <c r="J191" s="5" t="s">
        <v>145</v>
      </c>
      <c r="K191" s="5" t="s">
        <v>145</v>
      </c>
      <c r="L191" s="5" t="s">
        <v>145</v>
      </c>
      <c r="M191" s="5" t="s">
        <v>145</v>
      </c>
      <c r="N191" s="5" t="s">
        <v>407</v>
      </c>
      <c r="O191" s="5" t="str" cm="1">
        <f t="array" ref="O191">_xlfn.XLOOKUP(Tabella2[[#This Row],[Corretta]],Tabella2[[#This Row],[opzione 1]:[opzione 10]],Tabella2[[#This Row],[opzione 1]:[opzione 10]])</f>
        <v>Continuous flow</v>
      </c>
    </row>
    <row r="192" spans="1:15" ht="302.39999999999998" x14ac:dyDescent="0.3">
      <c r="A192" s="5" t="s">
        <v>568</v>
      </c>
      <c r="B192" s="5" t="s">
        <v>566</v>
      </c>
      <c r="C192" s="5" t="s">
        <v>408</v>
      </c>
      <c r="D192" s="5" t="s">
        <v>769</v>
      </c>
      <c r="E192" s="5" t="s">
        <v>549</v>
      </c>
      <c r="F192" s="5" t="s">
        <v>770</v>
      </c>
      <c r="G192" s="5" t="s">
        <v>409</v>
      </c>
      <c r="H192" s="5" t="s">
        <v>145</v>
      </c>
      <c r="I192" s="5" t="s">
        <v>145</v>
      </c>
      <c r="J192" s="5" t="s">
        <v>145</v>
      </c>
      <c r="K192" s="5" t="s">
        <v>145</v>
      </c>
      <c r="L192" s="5" t="s">
        <v>145</v>
      </c>
      <c r="M192" s="5" t="s">
        <v>145</v>
      </c>
      <c r="N192" s="5" t="s">
        <v>549</v>
      </c>
      <c r="O192" s="5" t="str" cm="1">
        <f t="array" ref="O192">_xlfn.XLOOKUP(Tabella2[[#This Row],[Corretta]],Tabella2[[#This Row],[opzione 1]:[opzione 10]],Tabella2[[#This Row],[opzione 1]:[opzione 10]])</f>
        <v>I materiali stranger hanno una frequenza d’uso troppo bassa e imprevedibile, che rende inefficiente un sistema pull e porta a sovraccarichi di scorte o obsolescenza</v>
      </c>
    </row>
    <row r="193" spans="1:15" ht="28.8" x14ac:dyDescent="0.3">
      <c r="A193" s="5" t="s">
        <v>568</v>
      </c>
      <c r="B193" s="5" t="s">
        <v>566</v>
      </c>
      <c r="C193" s="5" t="s">
        <v>550</v>
      </c>
      <c r="D193" s="5" t="s">
        <v>156</v>
      </c>
      <c r="E193" s="5" t="s">
        <v>565</v>
      </c>
      <c r="F193" s="5" t="s">
        <v>410</v>
      </c>
      <c r="G193" s="5" t="s">
        <v>411</v>
      </c>
      <c r="H193" s="5" t="s">
        <v>145</v>
      </c>
      <c r="I193" s="5" t="s">
        <v>145</v>
      </c>
      <c r="J193" s="5" t="s">
        <v>145</v>
      </c>
      <c r="K193" s="5" t="s">
        <v>145</v>
      </c>
      <c r="L193" s="5" t="s">
        <v>145</v>
      </c>
      <c r="M193" s="5" t="s">
        <v>145</v>
      </c>
      <c r="N193" s="5" t="s">
        <v>156</v>
      </c>
      <c r="O193" s="5" t="str" cm="1">
        <f t="array" ref="O193">_xlfn.XLOOKUP(Tabella2[[#This Row],[Corretta]],Tabella2[[#This Row],[opzione 1]:[opzione 10]],Tabella2[[#This Row],[opzione 1]:[opzione 10]])</f>
        <v>Kanban</v>
      </c>
    </row>
    <row r="194" spans="1:15" ht="28.8" x14ac:dyDescent="0.3">
      <c r="A194" s="5" t="s">
        <v>568</v>
      </c>
      <c r="B194" s="5" t="s">
        <v>566</v>
      </c>
      <c r="C194" s="5" t="s">
        <v>551</v>
      </c>
      <c r="D194" s="5" t="s">
        <v>156</v>
      </c>
      <c r="E194" s="5" t="s">
        <v>565</v>
      </c>
      <c r="F194" s="5" t="s">
        <v>410</v>
      </c>
      <c r="G194" s="5" t="s">
        <v>411</v>
      </c>
      <c r="H194" s="5" t="s">
        <v>145</v>
      </c>
      <c r="I194" s="5" t="s">
        <v>145</v>
      </c>
      <c r="J194" s="5" t="s">
        <v>145</v>
      </c>
      <c r="K194" s="5" t="s">
        <v>145</v>
      </c>
      <c r="L194" s="5" t="s">
        <v>145</v>
      </c>
      <c r="M194" s="5" t="s">
        <v>145</v>
      </c>
      <c r="N194" s="5" t="s">
        <v>410</v>
      </c>
      <c r="O194" s="5" t="str" cm="1">
        <f t="array" ref="O194">_xlfn.XLOOKUP(Tabella2[[#This Row],[Corretta]],Tabella2[[#This Row],[opzione 1]:[opzione 10]],Tabella2[[#This Row],[opzione 1]:[opzione 10]])</f>
        <v>Kanban o mrp</v>
      </c>
    </row>
    <row r="195" spans="1:15" ht="28.8" x14ac:dyDescent="0.3">
      <c r="A195" s="5" t="s">
        <v>568</v>
      </c>
      <c r="B195" s="5" t="s">
        <v>566</v>
      </c>
      <c r="C195" s="5" t="s">
        <v>553</v>
      </c>
      <c r="D195" s="5" t="s">
        <v>156</v>
      </c>
      <c r="E195" s="5" t="s">
        <v>565</v>
      </c>
      <c r="F195" s="5" t="s">
        <v>410</v>
      </c>
      <c r="G195" s="5" t="s">
        <v>411</v>
      </c>
      <c r="H195" s="5" t="s">
        <v>145</v>
      </c>
      <c r="I195" s="5" t="s">
        <v>145</v>
      </c>
      <c r="J195" s="5" t="s">
        <v>145</v>
      </c>
      <c r="K195" s="5" t="s">
        <v>145</v>
      </c>
      <c r="L195" s="5" t="s">
        <v>145</v>
      </c>
      <c r="M195" s="5" t="s">
        <v>145</v>
      </c>
      <c r="N195" s="5" t="s">
        <v>565</v>
      </c>
      <c r="O195" s="5" t="str" cm="1">
        <f t="array" ref="O195">_xlfn.XLOOKUP(Tabella2[[#This Row],[Corretta]],Tabella2[[#This Row],[opzione 1]:[opzione 10]],Tabella2[[#This Row],[opzione 1]:[opzione 10]])</f>
        <v>MRP</v>
      </c>
    </row>
    <row r="196" spans="1:15" ht="28.8" x14ac:dyDescent="0.3">
      <c r="A196" s="5" t="s">
        <v>568</v>
      </c>
      <c r="B196" s="5" t="s">
        <v>566</v>
      </c>
      <c r="C196" s="5" t="s">
        <v>552</v>
      </c>
      <c r="D196" s="5" t="s">
        <v>156</v>
      </c>
      <c r="E196" s="5" t="s">
        <v>565</v>
      </c>
      <c r="F196" s="5" t="s">
        <v>410</v>
      </c>
      <c r="G196" s="5" t="s">
        <v>411</v>
      </c>
      <c r="H196" s="5" t="s">
        <v>145</v>
      </c>
      <c r="I196" s="5" t="s">
        <v>145</v>
      </c>
      <c r="J196" s="5" t="s">
        <v>145</v>
      </c>
      <c r="K196" s="5" t="s">
        <v>145</v>
      </c>
      <c r="L196" s="5" t="s">
        <v>145</v>
      </c>
      <c r="M196" s="5" t="s">
        <v>145</v>
      </c>
      <c r="N196" s="5" t="s">
        <v>411</v>
      </c>
      <c r="O196" s="5" t="str" cm="1">
        <f t="array" ref="O196">_xlfn.XLOOKUP(Tabella2[[#This Row],[Corretta]],Tabella2[[#This Row],[opzione 1]:[opzione 10]],Tabella2[[#This Row],[opzione 1]:[opzione 10]])</f>
        <v>Double bin</v>
      </c>
    </row>
    <row r="197" spans="1:15" ht="28.8" x14ac:dyDescent="0.3">
      <c r="A197" s="5" t="s">
        <v>568</v>
      </c>
      <c r="B197" s="5" t="s">
        <v>566</v>
      </c>
      <c r="C197" s="5" t="s">
        <v>554</v>
      </c>
      <c r="D197" s="5" t="s">
        <v>156</v>
      </c>
      <c r="E197" s="5" t="s">
        <v>565</v>
      </c>
      <c r="F197" s="5" t="s">
        <v>410</v>
      </c>
      <c r="G197" s="5" t="s">
        <v>411</v>
      </c>
      <c r="H197" s="5" t="s">
        <v>145</v>
      </c>
      <c r="I197" s="5" t="s">
        <v>145</v>
      </c>
      <c r="J197" s="5" t="s">
        <v>145</v>
      </c>
      <c r="K197" s="5" t="s">
        <v>145</v>
      </c>
      <c r="L197" s="5" t="s">
        <v>145</v>
      </c>
      <c r="M197" s="5" t="s">
        <v>145</v>
      </c>
      <c r="N197" s="5" t="s">
        <v>411</v>
      </c>
      <c r="O197" s="5" t="str" cm="1">
        <f t="array" ref="O197">_xlfn.XLOOKUP(Tabella2[[#This Row],[Corretta]],Tabella2[[#This Row],[opzione 1]:[opzione 10]],Tabella2[[#This Row],[opzione 1]:[opzione 10]])</f>
        <v>Double bin</v>
      </c>
    </row>
    <row r="198" spans="1:15" ht="144" x14ac:dyDescent="0.3">
      <c r="A198" s="5" t="s">
        <v>568</v>
      </c>
      <c r="B198" s="5" t="s">
        <v>566</v>
      </c>
      <c r="C198" s="5" t="s">
        <v>555</v>
      </c>
      <c r="D198" s="5" t="s">
        <v>231</v>
      </c>
      <c r="E198" s="5" t="s">
        <v>232</v>
      </c>
      <c r="F198" s="5" t="s">
        <v>233</v>
      </c>
      <c r="G198" s="5" t="s">
        <v>234</v>
      </c>
      <c r="H198" s="5" t="s">
        <v>145</v>
      </c>
      <c r="I198" s="5" t="s">
        <v>145</v>
      </c>
      <c r="J198" s="5" t="s">
        <v>145</v>
      </c>
      <c r="K198" s="5" t="s">
        <v>145</v>
      </c>
      <c r="L198" s="5" t="s">
        <v>145</v>
      </c>
      <c r="M198" s="5" t="s">
        <v>145</v>
      </c>
      <c r="N198" s="5" t="s">
        <v>233</v>
      </c>
      <c r="O198" s="5" t="str" cm="1">
        <f t="array" ref="O198">_xlfn.XLOOKUP(Tabella2[[#This Row],[Corretta]],Tabella2[[#This Row],[opzione 1]:[opzione 10]],Tabella2[[#This Row],[opzione 1]:[opzione 10]])</f>
        <v>Valutare la rimozione a magazzino e ordinarlo solo in caso di richiesta</v>
      </c>
    </row>
    <row r="199" spans="1:15" ht="129.6" x14ac:dyDescent="0.3">
      <c r="A199" s="5" t="s">
        <v>568</v>
      </c>
      <c r="B199" s="5" t="s">
        <v>566</v>
      </c>
      <c r="C199" s="5" t="s">
        <v>556</v>
      </c>
      <c r="D199" s="5" t="s">
        <v>557</v>
      </c>
      <c r="E199" s="5" t="s">
        <v>558</v>
      </c>
      <c r="F199" s="5" t="s">
        <v>412</v>
      </c>
      <c r="G199" s="5" t="s">
        <v>413</v>
      </c>
      <c r="H199" s="5" t="s">
        <v>145</v>
      </c>
      <c r="I199" s="5" t="s">
        <v>145</v>
      </c>
      <c r="J199" s="5" t="s">
        <v>145</v>
      </c>
      <c r="K199" s="5" t="s">
        <v>145</v>
      </c>
      <c r="L199" s="5" t="s">
        <v>145</v>
      </c>
      <c r="M199" s="5" t="s">
        <v>145</v>
      </c>
      <c r="N199" s="5" t="s">
        <v>412</v>
      </c>
      <c r="O199" s="5" t="str" cm="1">
        <f t="array" ref="O199">_xlfn.XLOOKUP(Tabella2[[#This Row],[Corretta]],Tabella2[[#This Row],[opzione 1]:[opzione 10]],Tabella2[[#This Row],[opzione 1]:[opzione 10]])</f>
        <v>No, il metodo attuale rischia di generare scorte inutilizzate o obsolete</v>
      </c>
    </row>
    <row r="200" spans="1:15" ht="144" x14ac:dyDescent="0.3">
      <c r="A200" s="5" t="s">
        <v>568</v>
      </c>
      <c r="B200" s="5" t="s">
        <v>566</v>
      </c>
      <c r="C200" s="5" t="s">
        <v>704</v>
      </c>
      <c r="D200" s="5" t="s">
        <v>559</v>
      </c>
      <c r="E200" s="5" t="s">
        <v>838</v>
      </c>
      <c r="F200" s="5" t="s">
        <v>235</v>
      </c>
      <c r="G200" s="5" t="s">
        <v>560</v>
      </c>
      <c r="H200" s="5" t="s">
        <v>145</v>
      </c>
      <c r="I200" s="5" t="s">
        <v>145</v>
      </c>
      <c r="J200" s="5" t="s">
        <v>145</v>
      </c>
      <c r="K200" s="5" t="s">
        <v>145</v>
      </c>
      <c r="L200" s="5" t="s">
        <v>145</v>
      </c>
      <c r="M200" s="5" t="s">
        <v>145</v>
      </c>
      <c r="N200" s="5" t="s">
        <v>838</v>
      </c>
      <c r="O200" s="5" t="str" cm="1">
        <f t="array" ref="O200">_xlfn.XLOOKUP(Tabella2[[#This Row],[Corretta]],Tabella2[[#This Row],[opzione 1]:[opzione 10]],Tabella2[[#This Row],[opzione 1]:[opzione 10]])</f>
        <v>Il metodo scelto può generare immobilizzo di capitale in scorte inutilizzate</v>
      </c>
    </row>
    <row r="201" spans="1:15" ht="100.8" x14ac:dyDescent="0.3">
      <c r="A201" s="5" t="s">
        <v>568</v>
      </c>
      <c r="B201" s="5" t="s">
        <v>566</v>
      </c>
      <c r="C201" s="5" t="s">
        <v>772</v>
      </c>
      <c r="D201" s="5" t="s">
        <v>562</v>
      </c>
      <c r="E201" s="5" t="s">
        <v>236</v>
      </c>
      <c r="F201" s="5" t="s">
        <v>237</v>
      </c>
      <c r="G201" s="5" t="s">
        <v>561</v>
      </c>
      <c r="H201" s="5" t="s">
        <v>145</v>
      </c>
      <c r="I201" s="5" t="s">
        <v>145</v>
      </c>
      <c r="J201" s="5" t="s">
        <v>145</v>
      </c>
      <c r="K201" s="5" t="s">
        <v>145</v>
      </c>
      <c r="L201" s="5" t="s">
        <v>145</v>
      </c>
      <c r="M201" s="5" t="s">
        <v>145</v>
      </c>
      <c r="N201" s="5" t="s">
        <v>237</v>
      </c>
      <c r="O201" s="5" t="str" cm="1">
        <f t="array" ref="O201">_xlfn.XLOOKUP(Tabella2[[#This Row],[Corretta]],Tabella2[[#This Row],[opzione 1]:[opzione 10]],Tabella2[[#This Row],[opzione 1]:[opzione 10]])</f>
        <v>Ordinato solo in caso di necessità, su richiesta specifica</v>
      </c>
    </row>
    <row r="202" spans="1:15" ht="43.2" x14ac:dyDescent="0.3">
      <c r="A202" s="5" t="s">
        <v>568</v>
      </c>
      <c r="B202" s="5" t="s">
        <v>566</v>
      </c>
      <c r="C202" s="5" t="s">
        <v>705</v>
      </c>
      <c r="D202" s="5" t="s">
        <v>156</v>
      </c>
      <c r="E202" s="5" t="s">
        <v>565</v>
      </c>
      <c r="F202" s="5" t="s">
        <v>411</v>
      </c>
      <c r="G202" s="5" t="s">
        <v>203</v>
      </c>
      <c r="H202" s="5" t="s">
        <v>145</v>
      </c>
      <c r="I202" s="5" t="s">
        <v>145</v>
      </c>
      <c r="J202" s="5" t="s">
        <v>145</v>
      </c>
      <c r="K202" s="5" t="s">
        <v>145</v>
      </c>
      <c r="L202" s="5" t="s">
        <v>145</v>
      </c>
      <c r="M202" s="5" t="s">
        <v>145</v>
      </c>
      <c r="N202" s="5" t="s">
        <v>411</v>
      </c>
      <c r="O202" s="5" t="str" cm="1">
        <f t="array" ref="O202">_xlfn.XLOOKUP(Tabella2[[#This Row],[Corretta]],Tabella2[[#This Row],[opzione 1]:[opzione 10]],Tabella2[[#This Row],[opzione 1]:[opzione 10]])</f>
        <v>Double bin</v>
      </c>
    </row>
    <row r="203" spans="1:15" ht="43.2" x14ac:dyDescent="0.3">
      <c r="A203" s="5" t="s">
        <v>568</v>
      </c>
      <c r="B203" s="5" t="s">
        <v>566</v>
      </c>
      <c r="C203" s="5" t="s">
        <v>563</v>
      </c>
      <c r="D203" s="5" t="s">
        <v>156</v>
      </c>
      <c r="E203" s="5" t="s">
        <v>565</v>
      </c>
      <c r="F203" s="5" t="s">
        <v>411</v>
      </c>
      <c r="G203" s="5" t="s">
        <v>203</v>
      </c>
      <c r="H203" s="5" t="s">
        <v>145</v>
      </c>
      <c r="I203" s="5" t="s">
        <v>145</v>
      </c>
      <c r="J203" s="5" t="s">
        <v>145</v>
      </c>
      <c r="K203" s="5" t="s">
        <v>145</v>
      </c>
      <c r="L203" s="5" t="s">
        <v>145</v>
      </c>
      <c r="M203" s="5" t="s">
        <v>145</v>
      </c>
      <c r="N203" s="5" t="s">
        <v>156</v>
      </c>
      <c r="O203" s="5" t="str" cm="1">
        <f t="array" ref="O203">_xlfn.XLOOKUP(Tabella2[[#This Row],[Corretta]],Tabella2[[#This Row],[opzione 1]:[opzione 10]],Tabella2[[#This Row],[opzione 1]:[opzione 10]])</f>
        <v>Kanban</v>
      </c>
    </row>
    <row r="204" spans="1:15" ht="43.2" x14ac:dyDescent="0.3">
      <c r="A204" s="5" t="s">
        <v>568</v>
      </c>
      <c r="B204" s="5" t="s">
        <v>566</v>
      </c>
      <c r="C204" s="5" t="s">
        <v>564</v>
      </c>
      <c r="D204" s="5" t="s">
        <v>156</v>
      </c>
      <c r="E204" s="5" t="s">
        <v>565</v>
      </c>
      <c r="F204" s="5" t="s">
        <v>411</v>
      </c>
      <c r="G204" s="5" t="s">
        <v>203</v>
      </c>
      <c r="H204" s="5" t="s">
        <v>145</v>
      </c>
      <c r="I204" s="5" t="s">
        <v>145</v>
      </c>
      <c r="J204" s="5" t="s">
        <v>145</v>
      </c>
      <c r="K204" s="5" t="s">
        <v>145</v>
      </c>
      <c r="L204" s="5" t="s">
        <v>145</v>
      </c>
      <c r="M204" s="5" t="s">
        <v>145</v>
      </c>
      <c r="N204" s="5" t="s">
        <v>565</v>
      </c>
      <c r="O204" s="5" t="str" cm="1">
        <f t="array" ref="O204">_xlfn.XLOOKUP(Tabella2[[#This Row],[Corretta]],Tabella2[[#This Row],[opzione 1]:[opzione 10]],Tabella2[[#This Row],[opzione 1]:[opzione 10]])</f>
        <v>MRP</v>
      </c>
    </row>
    <row r="205" spans="1:15" ht="72" x14ac:dyDescent="0.3">
      <c r="A205" s="5" t="s">
        <v>568</v>
      </c>
      <c r="B205" s="5" t="s">
        <v>414</v>
      </c>
      <c r="C205" s="5" t="s">
        <v>627</v>
      </c>
      <c r="D205" s="5" t="s">
        <v>415</v>
      </c>
      <c r="E205" s="5" t="s">
        <v>416</v>
      </c>
      <c r="F205" s="5" t="s">
        <v>417</v>
      </c>
      <c r="G205" s="5" t="s">
        <v>418</v>
      </c>
      <c r="H205" s="5" t="s">
        <v>145</v>
      </c>
      <c r="I205" s="5" t="s">
        <v>145</v>
      </c>
      <c r="J205" s="5" t="s">
        <v>145</v>
      </c>
      <c r="K205" s="5" t="s">
        <v>145</v>
      </c>
      <c r="L205" s="5" t="s">
        <v>145</v>
      </c>
      <c r="M205" s="5" t="s">
        <v>145</v>
      </c>
      <c r="N205" s="5" t="s">
        <v>415</v>
      </c>
      <c r="O205" s="5" t="str" cm="1">
        <f t="array" ref="O205">_xlfn.XLOOKUP(Tabella2[[#This Row],[Corretta]],Tabella2[[#This Row],[opzione 1]:[opzione 10]],Tabella2[[#This Row],[opzione 1]:[opzione 10]])</f>
        <v>La quantità in pezzi a contenitore</v>
      </c>
    </row>
    <row r="206" spans="1:15" ht="72" x14ac:dyDescent="0.3">
      <c r="A206" s="5" t="s">
        <v>568</v>
      </c>
      <c r="B206" s="5" t="s">
        <v>414</v>
      </c>
      <c r="C206" s="5" t="s">
        <v>628</v>
      </c>
      <c r="D206" s="5" t="s">
        <v>415</v>
      </c>
      <c r="E206" s="5" t="s">
        <v>416</v>
      </c>
      <c r="F206" s="5" t="s">
        <v>417</v>
      </c>
      <c r="G206" s="5" t="s">
        <v>418</v>
      </c>
      <c r="H206" s="5" t="s">
        <v>145</v>
      </c>
      <c r="I206" s="5" t="s">
        <v>145</v>
      </c>
      <c r="J206" s="5" t="s">
        <v>145</v>
      </c>
      <c r="K206" s="5" t="s">
        <v>145</v>
      </c>
      <c r="L206" s="5" t="s">
        <v>145</v>
      </c>
      <c r="M206" s="5" t="s">
        <v>145</v>
      </c>
      <c r="N206" s="5" t="s">
        <v>418</v>
      </c>
      <c r="O206" s="5" t="str" cm="1">
        <f t="array" ref="O206">_xlfn.XLOOKUP(Tabella2[[#This Row],[Corretta]],Tabella2[[#This Row],[opzione 1]:[opzione 10]],Tabella2[[#This Row],[opzione 1]:[opzione 10]])</f>
        <v>Tutte le opzioni sono importanti</v>
      </c>
    </row>
    <row r="207" spans="1:15" ht="86.4" x14ac:dyDescent="0.3">
      <c r="A207" s="5" t="s">
        <v>568</v>
      </c>
      <c r="B207" s="5" t="s">
        <v>414</v>
      </c>
      <c r="C207" s="5" t="s">
        <v>632</v>
      </c>
      <c r="D207" s="5" t="s">
        <v>238</v>
      </c>
      <c r="E207" s="5" t="s">
        <v>239</v>
      </c>
      <c r="F207" s="5" t="s">
        <v>631</v>
      </c>
      <c r="G207" s="5" t="s">
        <v>240</v>
      </c>
      <c r="H207" s="5" t="s">
        <v>145</v>
      </c>
      <c r="I207" s="5" t="s">
        <v>145</v>
      </c>
      <c r="J207" s="5" t="s">
        <v>145</v>
      </c>
      <c r="K207" s="5" t="s">
        <v>145</v>
      </c>
      <c r="L207" s="5" t="s">
        <v>145</v>
      </c>
      <c r="M207" s="5" t="s">
        <v>145</v>
      </c>
      <c r="N207" s="5" t="s">
        <v>631</v>
      </c>
      <c r="O207" s="5" t="str" cm="1">
        <f t="array" ref="O207">_xlfn.XLOOKUP(Tabella2[[#This Row],[Corretta]],Tabella2[[#This Row],[opzione 1]:[opzione 10]],Tabella2[[#This Row],[opzione 1]:[opzione 10]])</f>
        <v>Un rallentamento della fase successiva</v>
      </c>
    </row>
    <row r="208" spans="1:15" ht="144" x14ac:dyDescent="0.3">
      <c r="A208" s="5" t="s">
        <v>568</v>
      </c>
      <c r="B208" s="5" t="s">
        <v>414</v>
      </c>
      <c r="C208" s="5" t="s">
        <v>419</v>
      </c>
      <c r="D208" s="5" t="s">
        <v>241</v>
      </c>
      <c r="E208" s="5" t="s">
        <v>242</v>
      </c>
      <c r="F208" s="5" t="s">
        <v>243</v>
      </c>
      <c r="G208" s="5" t="s">
        <v>244</v>
      </c>
      <c r="H208" s="5" t="s">
        <v>145</v>
      </c>
      <c r="I208" s="5" t="s">
        <v>145</v>
      </c>
      <c r="J208" s="5" t="s">
        <v>145</v>
      </c>
      <c r="K208" s="5" t="s">
        <v>145</v>
      </c>
      <c r="L208" s="5" t="s">
        <v>145</v>
      </c>
      <c r="M208" s="5" t="s">
        <v>145</v>
      </c>
      <c r="N208" s="5" t="s">
        <v>242</v>
      </c>
      <c r="O208" s="5" t="str" cm="1">
        <f t="array" ref="O208">_xlfn.XLOOKUP(Tabella2[[#This Row],[Corretta]],Tabella2[[#This Row],[opzione 1]:[opzione 10]],Tabella2[[#This Row],[opzione 1]:[opzione 10]])</f>
        <v>Che il processo a monte deve riavviare la produzione di quel componente</v>
      </c>
    </row>
    <row r="209" spans="1:15" ht="144" x14ac:dyDescent="0.3">
      <c r="A209" s="5" t="s">
        <v>568</v>
      </c>
      <c r="B209" s="5" t="s">
        <v>414</v>
      </c>
      <c r="C209" s="5" t="s">
        <v>420</v>
      </c>
      <c r="D209" s="5" t="s">
        <v>534</v>
      </c>
      <c r="E209" s="5" t="s">
        <v>421</v>
      </c>
      <c r="F209" s="5" t="s">
        <v>422</v>
      </c>
      <c r="G209" s="5" t="s">
        <v>245</v>
      </c>
      <c r="H209" s="5" t="s">
        <v>145</v>
      </c>
      <c r="I209" s="5" t="s">
        <v>145</v>
      </c>
      <c r="J209" s="5" t="s">
        <v>145</v>
      </c>
      <c r="K209" s="5" t="s">
        <v>145</v>
      </c>
      <c r="L209" s="5" t="s">
        <v>145</v>
      </c>
      <c r="M209" s="5" t="s">
        <v>145</v>
      </c>
      <c r="N209" s="5" t="s">
        <v>245</v>
      </c>
      <c r="O209" s="5" t="str" cm="1">
        <f t="array" ref="O209">_xlfn.XLOOKUP(Tabella2[[#This Row],[Corretta]],Tabella2[[#This Row],[opzione 1]:[opzione 10]],Tabella2[[#This Row],[opzione 1]:[opzione 10]])</f>
        <v>Ignorare i segnali kanban e produrre comunque per saturare la macchina</v>
      </c>
    </row>
    <row r="210" spans="1:15" ht="144" x14ac:dyDescent="0.3">
      <c r="A210" s="5" t="s">
        <v>568</v>
      </c>
      <c r="B210" s="5" t="s">
        <v>414</v>
      </c>
      <c r="C210" s="5" t="s">
        <v>629</v>
      </c>
      <c r="D210" s="5" t="s">
        <v>246</v>
      </c>
      <c r="E210" s="5" t="s">
        <v>247</v>
      </c>
      <c r="F210" s="5" t="s">
        <v>248</v>
      </c>
      <c r="G210" s="5" t="s">
        <v>423</v>
      </c>
      <c r="H210" s="5" t="s">
        <v>145</v>
      </c>
      <c r="I210" s="5" t="s">
        <v>145</v>
      </c>
      <c r="J210" s="5" t="s">
        <v>145</v>
      </c>
      <c r="K210" s="5" t="s">
        <v>145</v>
      </c>
      <c r="L210" s="5" t="s">
        <v>145</v>
      </c>
      <c r="M210" s="5" t="s">
        <v>145</v>
      </c>
      <c r="N210" s="5" t="s">
        <v>247</v>
      </c>
      <c r="O210" s="5" t="str" cm="1">
        <f t="array" ref="O210">_xlfn.XLOOKUP(Tabella2[[#This Row],[Corretta]],Tabella2[[#This Row],[opzione 1]:[opzione 10]],Tabella2[[#This Row],[opzione 1]:[opzione 10]])</f>
        <v>Il segnale di rifornimento non viene attivato, creando un rischio di rottura di stock</v>
      </c>
    </row>
    <row r="211" spans="1:15" ht="100.8" x14ac:dyDescent="0.3">
      <c r="A211" s="5" t="s">
        <v>568</v>
      </c>
      <c r="B211" s="5" t="s">
        <v>414</v>
      </c>
      <c r="C211" s="5" t="s">
        <v>839</v>
      </c>
      <c r="D211" s="5" t="s">
        <v>249</v>
      </c>
      <c r="E211" s="5" t="s">
        <v>424</v>
      </c>
      <c r="F211" s="5" t="s">
        <v>250</v>
      </c>
      <c r="G211" s="5" t="s">
        <v>251</v>
      </c>
      <c r="H211" s="5" t="s">
        <v>145</v>
      </c>
      <c r="I211" s="5" t="s">
        <v>145</v>
      </c>
      <c r="J211" s="5" t="s">
        <v>145</v>
      </c>
      <c r="K211" s="5" t="s">
        <v>145</v>
      </c>
      <c r="L211" s="5" t="s">
        <v>145</v>
      </c>
      <c r="M211" s="5" t="s">
        <v>145</v>
      </c>
      <c r="N211" s="5" t="s">
        <v>250</v>
      </c>
      <c r="O211" s="5" t="str" cm="1">
        <f t="array" ref="O211">_xlfn.XLOOKUP(Tabella2[[#This Row],[Corretta]],Tabella2[[#This Row],[opzione 1]:[opzione 10]],Tabella2[[#This Row],[opzione 1]:[opzione 10]])</f>
        <v>Eccesso di scorte e interruzione della logica pull</v>
      </c>
    </row>
    <row r="212" spans="1:15" ht="86.4" x14ac:dyDescent="0.3">
      <c r="A212" s="5" t="s">
        <v>568</v>
      </c>
      <c r="B212" s="5" t="s">
        <v>414</v>
      </c>
      <c r="C212" s="5" t="s">
        <v>630</v>
      </c>
      <c r="D212" s="5" t="s">
        <v>252</v>
      </c>
      <c r="E212" s="5" t="s">
        <v>425</v>
      </c>
      <c r="F212" s="5" t="s">
        <v>426</v>
      </c>
      <c r="G212" s="5" t="s">
        <v>633</v>
      </c>
      <c r="H212" s="5" t="s">
        <v>145</v>
      </c>
      <c r="I212" s="5" t="s">
        <v>145</v>
      </c>
      <c r="J212" s="5" t="s">
        <v>145</v>
      </c>
      <c r="K212" s="5" t="s">
        <v>145</v>
      </c>
      <c r="L212" s="5" t="s">
        <v>145</v>
      </c>
      <c r="M212" s="5" t="s">
        <v>145</v>
      </c>
      <c r="N212" s="5" t="s">
        <v>252</v>
      </c>
      <c r="O212" s="5" t="str" cm="1">
        <f t="array" ref="O212">_xlfn.XLOOKUP(Tabella2[[#This Row],[Corretta]],Tabella2[[#This Row],[opzione 1]:[opzione 10]],Tabella2[[#This Row],[opzione 1]:[opzione 10]])</f>
        <v>Il segnale di riordino non verrà mai attivato</v>
      </c>
    </row>
    <row r="213" spans="1:15" ht="57.6" x14ac:dyDescent="0.3">
      <c r="A213" s="5" t="s">
        <v>568</v>
      </c>
      <c r="B213" s="5" t="s">
        <v>414</v>
      </c>
      <c r="C213" s="5" t="s">
        <v>830</v>
      </c>
      <c r="D213" s="5" t="s">
        <v>427</v>
      </c>
      <c r="E213" s="5" t="s">
        <v>428</v>
      </c>
      <c r="F213" s="5" t="s">
        <v>429</v>
      </c>
      <c r="G213" s="5" t="s">
        <v>430</v>
      </c>
      <c r="H213" s="5" t="s">
        <v>203</v>
      </c>
      <c r="I213" s="5" t="s">
        <v>145</v>
      </c>
      <c r="J213" s="5" t="s">
        <v>145</v>
      </c>
      <c r="K213" s="5" t="s">
        <v>145</v>
      </c>
      <c r="L213" s="5" t="s">
        <v>145</v>
      </c>
      <c r="M213" s="5" t="s">
        <v>145</v>
      </c>
      <c r="N213" s="5" t="s">
        <v>203</v>
      </c>
      <c r="O213" s="5" t="str" cm="1">
        <f t="array" ref="O213">_xlfn.XLOOKUP(Tabella2[[#This Row],[Corretta]],Tabella2[[#This Row],[opzione 1]:[opzione 10]],Tabella2[[#This Row],[opzione 1]:[opzione 10]])</f>
        <v>Nessuna delle precedenti</v>
      </c>
    </row>
    <row r="214" spans="1:15" ht="86.4" x14ac:dyDescent="0.3">
      <c r="A214" s="5" t="s">
        <v>568</v>
      </c>
      <c r="B214" s="5" t="s">
        <v>414</v>
      </c>
      <c r="C214" s="5" t="s">
        <v>831</v>
      </c>
      <c r="D214" s="5" t="s">
        <v>427</v>
      </c>
      <c r="E214" s="5" t="s">
        <v>428</v>
      </c>
      <c r="F214" s="5" t="s">
        <v>429</v>
      </c>
      <c r="G214" s="5" t="s">
        <v>430</v>
      </c>
      <c r="H214" s="5" t="s">
        <v>203</v>
      </c>
      <c r="I214" s="5" t="s">
        <v>145</v>
      </c>
      <c r="J214" s="5" t="s">
        <v>145</v>
      </c>
      <c r="K214" s="5" t="s">
        <v>145</v>
      </c>
      <c r="L214" s="5" t="s">
        <v>145</v>
      </c>
      <c r="M214" s="5" t="s">
        <v>145</v>
      </c>
      <c r="N214" s="5" t="s">
        <v>429</v>
      </c>
      <c r="O214" s="5" t="str" cm="1">
        <f t="array" ref="O214">_xlfn.XLOOKUP(Tabella2[[#This Row],[Corretta]],Tabella2[[#This Row],[opzione 1]:[opzione 10]],Tabella2[[#This Row],[opzione 1]:[opzione 10]])</f>
        <v>A valle della stazione di produzione</v>
      </c>
    </row>
    <row r="215" spans="1:15" ht="57.6" x14ac:dyDescent="0.3">
      <c r="A215" s="5" t="s">
        <v>568</v>
      </c>
      <c r="B215" s="5" t="s">
        <v>414</v>
      </c>
      <c r="C215" s="5" t="s">
        <v>832</v>
      </c>
      <c r="D215" s="5" t="s">
        <v>427</v>
      </c>
      <c r="E215" s="5" t="s">
        <v>428</v>
      </c>
      <c r="F215" s="5" t="s">
        <v>429</v>
      </c>
      <c r="G215" s="5" t="s">
        <v>430</v>
      </c>
      <c r="H215" s="5" t="s">
        <v>203</v>
      </c>
      <c r="I215" s="5" t="s">
        <v>145</v>
      </c>
      <c r="J215" s="5" t="s">
        <v>145</v>
      </c>
      <c r="K215" s="5" t="s">
        <v>145</v>
      </c>
      <c r="L215" s="5" t="s">
        <v>145</v>
      </c>
      <c r="M215" s="5" t="s">
        <v>145</v>
      </c>
      <c r="N215" s="5" t="s">
        <v>427</v>
      </c>
      <c r="O215" s="5" t="str" cm="1">
        <f t="array" ref="O215">_xlfn.XLOOKUP(Tabella2[[#This Row],[Corretta]],Tabella2[[#This Row],[opzione 1]:[opzione 10]],Tabella2[[#This Row],[opzione 1]:[opzione 10]])</f>
        <v>A valle dell'intero processo</v>
      </c>
    </row>
    <row r="216" spans="1:15" ht="86.4" x14ac:dyDescent="0.3">
      <c r="A216" s="5" t="s">
        <v>568</v>
      </c>
      <c r="B216" s="5" t="s">
        <v>414</v>
      </c>
      <c r="C216" s="5" t="s">
        <v>829</v>
      </c>
      <c r="D216" s="5" t="s">
        <v>427</v>
      </c>
      <c r="E216" s="5" t="s">
        <v>428</v>
      </c>
      <c r="F216" s="5" t="s">
        <v>429</v>
      </c>
      <c r="G216" s="5" t="s">
        <v>430</v>
      </c>
      <c r="H216" s="5" t="s">
        <v>203</v>
      </c>
      <c r="I216" s="5" t="s">
        <v>145</v>
      </c>
      <c r="J216" s="5" t="s">
        <v>145</v>
      </c>
      <c r="K216" s="5" t="s">
        <v>145</v>
      </c>
      <c r="L216" s="5" t="s">
        <v>145</v>
      </c>
      <c r="M216" s="5" t="s">
        <v>145</v>
      </c>
      <c r="N216" s="5" t="s">
        <v>430</v>
      </c>
      <c r="O216" s="5" t="str" cm="1">
        <f t="array" ref="O216">_xlfn.XLOOKUP(Tabella2[[#This Row],[Corretta]],Tabella2[[#This Row],[opzione 1]:[opzione 10]],Tabella2[[#This Row],[opzione 1]:[opzione 10]])</f>
        <v>A monte della stazione di produzione</v>
      </c>
    </row>
    <row r="217" spans="1:15" ht="100.8" x14ac:dyDescent="0.3">
      <c r="A217" s="5" t="s">
        <v>568</v>
      </c>
      <c r="B217" s="5" t="s">
        <v>414</v>
      </c>
      <c r="C217" s="5" t="s">
        <v>253</v>
      </c>
      <c r="D217" s="5" t="s">
        <v>431</v>
      </c>
      <c r="E217" s="5" t="s">
        <v>254</v>
      </c>
      <c r="F217" s="5" t="s">
        <v>255</v>
      </c>
      <c r="G217" s="5" t="s">
        <v>432</v>
      </c>
      <c r="H217" s="5" t="s">
        <v>145</v>
      </c>
      <c r="I217" s="5" t="s">
        <v>145</v>
      </c>
      <c r="J217" s="5" t="s">
        <v>145</v>
      </c>
      <c r="K217" s="5" t="s">
        <v>145</v>
      </c>
      <c r="L217" s="5" t="s">
        <v>145</v>
      </c>
      <c r="M217" s="5" t="s">
        <v>145</v>
      </c>
      <c r="N217" s="5" t="s">
        <v>254</v>
      </c>
      <c r="O217" s="5" t="str" cm="1">
        <f t="array" ref="O217">_xlfn.XLOOKUP(Tabella2[[#This Row],[Corretta]],Tabella2[[#This Row],[opzione 1]:[opzione 10]],Tabella2[[#This Row],[opzione 1]:[opzione 10]])</f>
        <v>Consente di compensare fluttuazioni tra processi</v>
      </c>
    </row>
    <row r="218" spans="1:15" ht="43.2" x14ac:dyDescent="0.3">
      <c r="A218" s="5" t="s">
        <v>626</v>
      </c>
      <c r="B218" s="6" t="s">
        <v>12</v>
      </c>
      <c r="C218" s="6" t="s">
        <v>13</v>
      </c>
      <c r="D218" s="6" t="s">
        <v>14</v>
      </c>
      <c r="E218" s="6" t="s">
        <v>272</v>
      </c>
      <c r="F218" s="6" t="s">
        <v>15</v>
      </c>
      <c r="G218" s="6" t="s">
        <v>145</v>
      </c>
      <c r="H218" s="6" t="s">
        <v>145</v>
      </c>
      <c r="I218" s="6" t="s">
        <v>145</v>
      </c>
      <c r="J218" s="6" t="s">
        <v>145</v>
      </c>
      <c r="K218" s="6" t="s">
        <v>145</v>
      </c>
      <c r="L218" s="6" t="s">
        <v>145</v>
      </c>
      <c r="M218" s="6" t="s">
        <v>145</v>
      </c>
      <c r="N218" s="7" t="s">
        <v>14</v>
      </c>
      <c r="O218" s="5" t="str" cm="1">
        <f t="array" ref="O218">_xlfn.XLOOKUP(Tabella2[[#This Row],[Corretta]],Tabella2[[#This Row],[opzione 1]:[opzione 10]],Tabella2[[#This Row],[opzione 1]:[opzione 10]])</f>
        <v>Leading by example</v>
      </c>
    </row>
    <row r="219" spans="1:15" ht="115.2" x14ac:dyDescent="0.3">
      <c r="A219" s="5" t="s">
        <v>626</v>
      </c>
      <c r="B219" s="8" t="s">
        <v>12</v>
      </c>
      <c r="C219" s="8" t="s">
        <v>16</v>
      </c>
      <c r="D219" s="8" t="s">
        <v>17</v>
      </c>
      <c r="E219" s="8" t="s">
        <v>273</v>
      </c>
      <c r="F219" s="8" t="s">
        <v>274</v>
      </c>
      <c r="G219" s="8" t="s">
        <v>275</v>
      </c>
      <c r="H219" s="8" t="s">
        <v>145</v>
      </c>
      <c r="I219" s="8" t="s">
        <v>145</v>
      </c>
      <c r="J219" s="8" t="s">
        <v>145</v>
      </c>
      <c r="K219" s="8" t="s">
        <v>145</v>
      </c>
      <c r="L219" s="8" t="s">
        <v>145</v>
      </c>
      <c r="M219" s="8" t="s">
        <v>145</v>
      </c>
      <c r="N219" s="9" t="s">
        <v>17</v>
      </c>
      <c r="O219" s="5" t="str" cm="1">
        <f t="array" ref="O219">_xlfn.XLOOKUP(Tabella2[[#This Row],[Corretta]],Tabella2[[#This Row],[opzione 1]:[opzione 10]],Tabella2[[#This Row],[opzione 1]:[opzione 10]])</f>
        <v>È un sistema, fatto di principi, tecniche e metodi e strumenti</v>
      </c>
    </row>
    <row r="220" spans="1:15" x14ac:dyDescent="0.3">
      <c r="A220" s="5" t="s">
        <v>626</v>
      </c>
      <c r="B220" s="6" t="s">
        <v>12</v>
      </c>
      <c r="C220" s="6" t="s">
        <v>18</v>
      </c>
      <c r="D220" s="6" t="s">
        <v>826</v>
      </c>
      <c r="E220" s="6" t="s">
        <v>828</v>
      </c>
      <c r="F220" s="6" t="s">
        <v>827</v>
      </c>
      <c r="G220" s="6" t="s">
        <v>278</v>
      </c>
      <c r="H220" s="6" t="s">
        <v>145</v>
      </c>
      <c r="I220" s="6" t="s">
        <v>145</v>
      </c>
      <c r="J220" s="6" t="s">
        <v>145</v>
      </c>
      <c r="K220" s="6" t="s">
        <v>145</v>
      </c>
      <c r="L220" s="6" t="s">
        <v>145</v>
      </c>
      <c r="M220" s="6" t="s">
        <v>145</v>
      </c>
      <c r="N220" s="7" t="s">
        <v>826</v>
      </c>
      <c r="O220" s="5" t="str" cm="1">
        <f t="array" ref="O220">_xlfn.XLOOKUP(Tabella2[[#This Row],[Corretta]],Tabella2[[#This Row],[opzione 1]:[opzione 10]],Tabella2[[#This Row],[opzione 1]:[opzione 10]])</f>
        <v>Le 4D</v>
      </c>
    </row>
    <row r="221" spans="1:15" ht="28.8" x14ac:dyDescent="0.3">
      <c r="A221" s="5" t="s">
        <v>626</v>
      </c>
      <c r="B221" s="8" t="s">
        <v>12</v>
      </c>
      <c r="C221" s="8" t="s">
        <v>19</v>
      </c>
      <c r="D221" s="8" t="s">
        <v>20</v>
      </c>
      <c r="E221" s="8" t="s">
        <v>21</v>
      </c>
      <c r="F221" s="8" t="s">
        <v>279</v>
      </c>
      <c r="G221" s="8" t="s">
        <v>280</v>
      </c>
      <c r="H221" s="8" t="s">
        <v>22</v>
      </c>
      <c r="I221" s="8" t="s">
        <v>281</v>
      </c>
      <c r="J221" s="8" t="s">
        <v>23</v>
      </c>
      <c r="K221" s="8" t="s">
        <v>282</v>
      </c>
      <c r="L221" s="8" t="s">
        <v>24</v>
      </c>
      <c r="M221" s="8" t="s">
        <v>25</v>
      </c>
      <c r="N221" s="9" t="s">
        <v>671</v>
      </c>
      <c r="O221" s="5" t="e" cm="1">
        <f t="array" ref="O221">_xlfn.XLOOKUP(Tabella2[[#This Row],[Corretta]],Tabella2[[#This Row],[opzione 1]:[opzione 10]],Tabella2[[#This Row],[opzione 1]:[opzione 10]])</f>
        <v>#N/A</v>
      </c>
    </row>
    <row r="222" spans="1:15" ht="158.4" x14ac:dyDescent="0.3">
      <c r="A222" s="5" t="s">
        <v>626</v>
      </c>
      <c r="B222" s="6" t="s">
        <v>12</v>
      </c>
      <c r="C222" s="6" t="s">
        <v>283</v>
      </c>
      <c r="D222" s="6" t="s">
        <v>26</v>
      </c>
      <c r="E222" s="6" t="s">
        <v>27</v>
      </c>
      <c r="F222" s="6" t="s">
        <v>28</v>
      </c>
      <c r="G222" s="6" t="s">
        <v>145</v>
      </c>
      <c r="H222" s="6" t="s">
        <v>145</v>
      </c>
      <c r="I222" s="6" t="s">
        <v>145</v>
      </c>
      <c r="J222" s="6" t="s">
        <v>145</v>
      </c>
      <c r="K222" s="6" t="s">
        <v>145</v>
      </c>
      <c r="L222" s="6" t="s">
        <v>145</v>
      </c>
      <c r="M222" s="6" t="s">
        <v>145</v>
      </c>
      <c r="N222" s="7" t="s">
        <v>26</v>
      </c>
      <c r="O222" s="5" t="str" cm="1">
        <f t="array" ref="O222">_xlfn.XLOOKUP(Tabella2[[#This Row],[Corretta]],Tabella2[[#This Row],[opzione 1]:[opzione 10]],Tabella2[[#This Row],[opzione 1]:[opzione 10]])</f>
        <v>È la fase di misurazione e analisi dei processi dell’azienda allo stato attuale</v>
      </c>
    </row>
    <row r="223" spans="1:15" ht="86.4" x14ac:dyDescent="0.3">
      <c r="A223" s="5" t="s">
        <v>626</v>
      </c>
      <c r="B223" s="8" t="s">
        <v>12</v>
      </c>
      <c r="C223" s="8" t="s">
        <v>284</v>
      </c>
      <c r="D223" s="8" t="s">
        <v>26</v>
      </c>
      <c r="E223" s="8" t="s">
        <v>27</v>
      </c>
      <c r="F223" s="8" t="s">
        <v>28</v>
      </c>
      <c r="G223" s="8" t="s">
        <v>145</v>
      </c>
      <c r="H223" s="8" t="s">
        <v>145</v>
      </c>
      <c r="I223" s="8" t="s">
        <v>145</v>
      </c>
      <c r="J223" s="8" t="s">
        <v>145</v>
      </c>
      <c r="K223" s="8" t="s">
        <v>145</v>
      </c>
      <c r="L223" s="8" t="s">
        <v>145</v>
      </c>
      <c r="M223" s="8" t="s">
        <v>145</v>
      </c>
      <c r="N223" s="9" t="s">
        <v>27</v>
      </c>
      <c r="O223" s="5" t="str" cm="1">
        <f t="array" ref="O223">_xlfn.XLOOKUP(Tabella2[[#This Row],[Corretta]],Tabella2[[#This Row],[opzione 1]:[opzione 10]],Tabella2[[#This Row],[opzione 1]:[opzione 10]])</f>
        <v>È la fase di riprogettazione dell'azienda</v>
      </c>
    </row>
    <row r="224" spans="1:15" x14ac:dyDescent="0.3">
      <c r="A224" s="5" t="s">
        <v>626</v>
      </c>
      <c r="B224" s="6" t="s">
        <v>12</v>
      </c>
      <c r="C224" s="6" t="s">
        <v>754</v>
      </c>
      <c r="D224" s="6">
        <v>1</v>
      </c>
      <c r="E224" s="6">
        <v>2</v>
      </c>
      <c r="F224" s="6">
        <v>3</v>
      </c>
      <c r="G224" s="6">
        <v>4</v>
      </c>
      <c r="H224" s="6" t="s">
        <v>145</v>
      </c>
      <c r="I224" s="6" t="s">
        <v>145</v>
      </c>
      <c r="J224" s="6" t="s">
        <v>145</v>
      </c>
      <c r="K224" s="6" t="s">
        <v>145</v>
      </c>
      <c r="L224" s="6" t="s">
        <v>145</v>
      </c>
      <c r="M224" s="6" t="s">
        <v>145</v>
      </c>
      <c r="N224" s="7">
        <v>3</v>
      </c>
      <c r="O224" s="5" cm="1">
        <f t="array" ref="O224">_xlfn.XLOOKUP(Tabella2[[#This Row],[Corretta]],Tabella2[[#This Row],[opzione 1]:[opzione 10]],Tabella2[[#This Row],[opzione 1]:[opzione 10]])</f>
        <v>3</v>
      </c>
    </row>
    <row r="225" spans="1:15" x14ac:dyDescent="0.3">
      <c r="A225" s="5" t="s">
        <v>626</v>
      </c>
      <c r="B225" s="8" t="s">
        <v>12</v>
      </c>
      <c r="C225" s="8" t="s">
        <v>753</v>
      </c>
      <c r="D225" s="8" t="s">
        <v>209</v>
      </c>
      <c r="E225" s="8" t="s">
        <v>210</v>
      </c>
      <c r="F225" s="8"/>
      <c r="G225" s="8"/>
      <c r="H225" s="8"/>
      <c r="I225" s="8"/>
      <c r="J225" s="8"/>
      <c r="K225" s="8"/>
      <c r="L225" s="8"/>
      <c r="M225" s="8"/>
      <c r="N225" s="9" t="s">
        <v>209</v>
      </c>
      <c r="O225" s="5" t="str" cm="1">
        <f t="array" ref="O225">_xlfn.XLOOKUP(Tabella2[[#This Row],[Corretta]],Tabella2[[#This Row],[opzione 1]:[opzione 10]],Tabella2[[#This Row],[opzione 1]:[opzione 10]])</f>
        <v>Si</v>
      </c>
    </row>
    <row r="226" spans="1:15" x14ac:dyDescent="0.3">
      <c r="A226" s="5" t="s">
        <v>626</v>
      </c>
      <c r="B226" s="6" t="s">
        <v>12</v>
      </c>
      <c r="C226" s="6" t="s">
        <v>29</v>
      </c>
      <c r="D226" s="6" t="s">
        <v>30</v>
      </c>
      <c r="E226" s="6" t="s">
        <v>31</v>
      </c>
      <c r="F226" s="6" t="s">
        <v>32</v>
      </c>
      <c r="G226" s="6" t="s">
        <v>33</v>
      </c>
      <c r="H226" s="6" t="s">
        <v>145</v>
      </c>
      <c r="I226" s="6" t="s">
        <v>145</v>
      </c>
      <c r="J226" s="6" t="s">
        <v>145</v>
      </c>
      <c r="K226" s="6" t="s">
        <v>145</v>
      </c>
      <c r="L226" s="6" t="s">
        <v>145</v>
      </c>
      <c r="M226" s="6" t="s">
        <v>145</v>
      </c>
      <c r="N226" s="7" t="s">
        <v>34</v>
      </c>
      <c r="O226" s="5" t="e" cm="1">
        <f t="array" ref="O226">_xlfn.XLOOKUP(Tabella2[[#This Row],[Corretta]],Tabella2[[#This Row],[opzione 1]:[opzione 10]],Tabella2[[#This Row],[opzione 1]:[opzione 10]])</f>
        <v>#N/A</v>
      </c>
    </row>
    <row r="227" spans="1:15" ht="100.8" x14ac:dyDescent="0.3">
      <c r="A227" s="5" t="s">
        <v>626</v>
      </c>
      <c r="B227" s="8" t="s">
        <v>35</v>
      </c>
      <c r="C227" s="8" t="s">
        <v>36</v>
      </c>
      <c r="D227" s="8" t="s">
        <v>285</v>
      </c>
      <c r="E227" s="8" t="s">
        <v>286</v>
      </c>
      <c r="F227" s="8" t="s">
        <v>287</v>
      </c>
      <c r="G227" s="8" t="s">
        <v>288</v>
      </c>
      <c r="H227" s="8" t="s">
        <v>145</v>
      </c>
      <c r="I227" s="8" t="s">
        <v>145</v>
      </c>
      <c r="J227" s="8" t="s">
        <v>145</v>
      </c>
      <c r="K227" s="8" t="s">
        <v>145</v>
      </c>
      <c r="L227" s="8" t="s">
        <v>145</v>
      </c>
      <c r="M227" s="8" t="s">
        <v>145</v>
      </c>
      <c r="N227" s="8" t="s">
        <v>285</v>
      </c>
      <c r="O227" s="5" t="str" cm="1">
        <f t="array" ref="O227">_xlfn.XLOOKUP(Tabella2[[#This Row],[Corretta]],Tabella2[[#This Row],[opzione 1]:[opzione 10]],Tabella2[[#This Row],[opzione 1]:[opzione 10]])</f>
        <v>È tutto quello per il quale il cliente sarebbe disposto a pagare</v>
      </c>
    </row>
    <row r="228" spans="1:15" x14ac:dyDescent="0.3">
      <c r="A228" s="5" t="s">
        <v>626</v>
      </c>
      <c r="B228" s="6" t="s">
        <v>35</v>
      </c>
      <c r="C228" s="6" t="s">
        <v>37</v>
      </c>
      <c r="D228" s="6" t="s">
        <v>38</v>
      </c>
      <c r="E228" s="6" t="s">
        <v>39</v>
      </c>
      <c r="F228" s="6" t="s">
        <v>40</v>
      </c>
      <c r="G228" s="6" t="s">
        <v>41</v>
      </c>
      <c r="H228" s="6" t="s">
        <v>42</v>
      </c>
      <c r="I228" s="6" t="s">
        <v>145</v>
      </c>
      <c r="J228" s="6" t="s">
        <v>145</v>
      </c>
      <c r="K228" s="6" t="s">
        <v>145</v>
      </c>
      <c r="L228" s="6" t="s">
        <v>145</v>
      </c>
      <c r="M228" s="6" t="s">
        <v>145</v>
      </c>
      <c r="N228" s="7" t="s">
        <v>757</v>
      </c>
      <c r="O228" s="5" t="e" cm="1">
        <f t="array" ref="O228">_xlfn.XLOOKUP(Tabella2[[#This Row],[Corretta]],Tabella2[[#This Row],[opzione 1]:[opzione 10]],Tabella2[[#This Row],[opzione 1]:[opzione 10]])</f>
        <v>#N/A</v>
      </c>
    </row>
    <row r="229" spans="1:15" ht="158.4" x14ac:dyDescent="0.3">
      <c r="A229" s="5" t="s">
        <v>626</v>
      </c>
      <c r="B229" s="8" t="s">
        <v>44</v>
      </c>
      <c r="C229" s="8" t="s">
        <v>45</v>
      </c>
      <c r="D229" s="8" t="s">
        <v>434</v>
      </c>
      <c r="E229" s="8" t="s">
        <v>289</v>
      </c>
      <c r="F229" s="8" t="s">
        <v>290</v>
      </c>
      <c r="G229" s="8" t="s">
        <v>291</v>
      </c>
      <c r="H229" s="8" t="s">
        <v>145</v>
      </c>
      <c r="I229" s="8" t="s">
        <v>145</v>
      </c>
      <c r="J229" s="8" t="s">
        <v>145</v>
      </c>
      <c r="K229" s="8" t="s">
        <v>145</v>
      </c>
      <c r="L229" s="8" t="s">
        <v>145</v>
      </c>
      <c r="M229" s="8" t="s">
        <v>145</v>
      </c>
      <c r="N229" s="9" t="s">
        <v>434</v>
      </c>
      <c r="O229" s="5" t="str" cm="1">
        <f t="array" ref="O229">_xlfn.XLOOKUP(Tabella2[[#This Row],[Corretta]],Tabella2[[#This Row],[opzione 1]:[opzione 10]],Tabella2[[#This Row],[opzione 1]:[opzione 10]])</f>
        <v>Un insieme di operazioni o fasi che trasforma un insieme di input in un output</v>
      </c>
    </row>
    <row r="230" spans="1:15" ht="259.2" x14ac:dyDescent="0.3">
      <c r="A230" s="5" t="s">
        <v>626</v>
      </c>
      <c r="B230" s="6" t="s">
        <v>44</v>
      </c>
      <c r="C230" s="6" t="s">
        <v>46</v>
      </c>
      <c r="D230" s="6" t="s">
        <v>435</v>
      </c>
      <c r="E230" s="6" t="s">
        <v>47</v>
      </c>
      <c r="F230" s="6" t="s">
        <v>48</v>
      </c>
      <c r="G230" s="6" t="s">
        <v>292</v>
      </c>
      <c r="H230" s="6" t="s">
        <v>145</v>
      </c>
      <c r="I230" s="6" t="s">
        <v>145</v>
      </c>
      <c r="J230" s="6" t="s">
        <v>145</v>
      </c>
      <c r="K230" s="6" t="s">
        <v>145</v>
      </c>
      <c r="L230" s="6" t="s">
        <v>145</v>
      </c>
      <c r="M230" s="6" t="s">
        <v>145</v>
      </c>
      <c r="N230" s="7" t="s">
        <v>48</v>
      </c>
      <c r="O230" s="5" t="str" cm="1">
        <f t="array" ref="O230">_xlfn.XLOOKUP(Tabella2[[#This Row],[Corretta]],Tabella2[[#This Row],[opzione 1]:[opzione 10]],Tabella2[[#This Row],[opzione 1]:[opzione 10]])</f>
        <v>Unità elementare di lavoro che fa variare lo stato o la posizione nello spazio di un oggetto materiale, immateriale o di una persona</v>
      </c>
    </row>
    <row r="231" spans="1:15" ht="86.4" x14ac:dyDescent="0.3">
      <c r="A231" s="5" t="s">
        <v>626</v>
      </c>
      <c r="B231" s="8" t="s">
        <v>44</v>
      </c>
      <c r="C231" s="8" t="s">
        <v>733</v>
      </c>
      <c r="D231" s="8" t="s">
        <v>49</v>
      </c>
      <c r="E231" s="8" t="s">
        <v>50</v>
      </c>
      <c r="F231" s="8" t="s">
        <v>51</v>
      </c>
      <c r="G231" s="8" t="s">
        <v>52</v>
      </c>
      <c r="H231" s="8" t="s">
        <v>145</v>
      </c>
      <c r="I231" s="8" t="s">
        <v>145</v>
      </c>
      <c r="J231" s="8" t="s">
        <v>145</v>
      </c>
      <c r="K231" s="8" t="s">
        <v>145</v>
      </c>
      <c r="L231" s="8" t="s">
        <v>145</v>
      </c>
      <c r="M231" s="8" t="s">
        <v>145</v>
      </c>
      <c r="N231" s="9" t="s">
        <v>50</v>
      </c>
      <c r="O231" s="5" t="str" cm="1">
        <f t="array" ref="O231">_xlfn.XLOOKUP(Tabella2[[#This Row],[Corretta]],Tabella2[[#This Row],[opzione 1]:[opzione 10]],Tabella2[[#This Row],[opzione 1]:[opzione 10]])</f>
        <v>Flusso informativo, flusso operativo, workflow</v>
      </c>
    </row>
    <row r="232" spans="1:15" ht="216" x14ac:dyDescent="0.3">
      <c r="A232" s="5" t="s">
        <v>626</v>
      </c>
      <c r="B232" s="6" t="s">
        <v>44</v>
      </c>
      <c r="C232" s="6" t="s">
        <v>293</v>
      </c>
      <c r="D232" s="6" t="s">
        <v>294</v>
      </c>
      <c r="E232" s="6" t="s">
        <v>295</v>
      </c>
      <c r="F232" s="6" t="s">
        <v>296</v>
      </c>
      <c r="G232" s="6" t="s">
        <v>297</v>
      </c>
      <c r="H232" s="6" t="s">
        <v>145</v>
      </c>
      <c r="I232" s="6" t="s">
        <v>145</v>
      </c>
      <c r="J232" s="6" t="s">
        <v>145</v>
      </c>
      <c r="K232" s="6" t="s">
        <v>145</v>
      </c>
      <c r="L232" s="6" t="s">
        <v>145</v>
      </c>
      <c r="M232" s="6" t="s">
        <v>145</v>
      </c>
      <c r="N232" s="7" t="s">
        <v>297</v>
      </c>
      <c r="O232" s="5" t="str" cm="1">
        <f t="array" ref="O232">_xlfn.XLOOKUP(Tabella2[[#This Row],[Corretta]],Tabella2[[#This Row],[opzione 1]:[opzione 10]],Tabella2[[#This Row],[opzione 1]:[opzione 10]])</f>
        <v>Jiidoka è la capacità di macchine e uomini di arrestarsi immediatamente all’insorgenza di un’anomalia nel processo</v>
      </c>
    </row>
    <row r="233" spans="1:15" ht="144" x14ac:dyDescent="0.3">
      <c r="A233" s="5" t="s">
        <v>626</v>
      </c>
      <c r="B233" s="8" t="s">
        <v>53</v>
      </c>
      <c r="C233" s="8" t="s">
        <v>54</v>
      </c>
      <c r="D233" s="8" t="s">
        <v>55</v>
      </c>
      <c r="E233" s="8" t="s">
        <v>56</v>
      </c>
      <c r="F233" s="8" t="s">
        <v>57</v>
      </c>
      <c r="G233" s="8" t="s">
        <v>58</v>
      </c>
      <c r="H233" s="8" t="s">
        <v>145</v>
      </c>
      <c r="I233" s="8" t="s">
        <v>145</v>
      </c>
      <c r="J233" s="8" t="s">
        <v>145</v>
      </c>
      <c r="K233" s="8" t="s">
        <v>145</v>
      </c>
      <c r="L233" s="8" t="s">
        <v>145</v>
      </c>
      <c r="M233" s="8" t="s">
        <v>145</v>
      </c>
      <c r="N233" s="9" t="s">
        <v>56</v>
      </c>
      <c r="O233" s="5" t="str" cm="1">
        <f t="array" ref="O233">_xlfn.XLOOKUP(Tabella2[[#This Row],[Corretta]],Tabella2[[#This Row],[opzione 1]:[opzione 10]],Tabella2[[#This Row],[opzione 1]:[opzione 10]])</f>
        <v>Sovrapproduzione, attese, trasporti, processi non corretti, scorte, movimenti, difetti</v>
      </c>
    </row>
    <row r="234" spans="1:15" ht="100.8" x14ac:dyDescent="0.3">
      <c r="A234" s="5" t="s">
        <v>626</v>
      </c>
      <c r="B234" s="6" t="s">
        <v>53</v>
      </c>
      <c r="C234" s="6" t="s">
        <v>59</v>
      </c>
      <c r="D234" s="6" t="s">
        <v>60</v>
      </c>
      <c r="E234" s="6" t="s">
        <v>61</v>
      </c>
      <c r="F234" s="6" t="s">
        <v>62</v>
      </c>
      <c r="G234" s="6" t="s">
        <v>63</v>
      </c>
      <c r="H234" s="6" t="s">
        <v>145</v>
      </c>
      <c r="I234" s="6" t="s">
        <v>145</v>
      </c>
      <c r="J234" s="6" t="s">
        <v>145</v>
      </c>
      <c r="K234" s="6" t="s">
        <v>145</v>
      </c>
      <c r="L234" s="6" t="s">
        <v>145</v>
      </c>
      <c r="M234" s="6" t="s">
        <v>145</v>
      </c>
      <c r="N234" s="7" t="s">
        <v>60</v>
      </c>
      <c r="O234" s="5" t="str" cm="1">
        <f t="array" ref="O234">_xlfn.XLOOKUP(Tabella2[[#This Row],[Corretta]],Tabella2[[#This Row],[opzione 1]:[opzione 10]],Tabella2[[#This Row],[opzione 1]:[opzione 10]])</f>
        <v>Perché può generare a cascata tutti gli altri muda</v>
      </c>
    </row>
    <row r="235" spans="1:15" ht="28.8" x14ac:dyDescent="0.3">
      <c r="A235" s="5" t="s">
        <v>626</v>
      </c>
      <c r="B235" s="8" t="s">
        <v>53</v>
      </c>
      <c r="C235" s="8" t="s">
        <v>825</v>
      </c>
      <c r="D235" s="8" t="s">
        <v>299</v>
      </c>
      <c r="E235" s="8" t="s">
        <v>300</v>
      </c>
      <c r="F235" s="8" t="s">
        <v>301</v>
      </c>
      <c r="G235" s="8" t="s">
        <v>145</v>
      </c>
      <c r="H235" s="8" t="s">
        <v>145</v>
      </c>
      <c r="I235" s="8" t="s">
        <v>145</v>
      </c>
      <c r="J235" s="8" t="s">
        <v>145</v>
      </c>
      <c r="K235" s="8" t="s">
        <v>145</v>
      </c>
      <c r="L235" s="8" t="s">
        <v>145</v>
      </c>
      <c r="M235" s="8" t="s">
        <v>145</v>
      </c>
      <c r="N235" s="9" t="s">
        <v>300</v>
      </c>
      <c r="O235" s="5" t="str" cm="1">
        <f t="array" ref="O235">_xlfn.XLOOKUP(Tabella2[[#This Row],[Corretta]],Tabella2[[#This Row],[opzione 1]:[opzione 10]],Tabella2[[#This Row],[opzione 1]:[opzione 10]])</f>
        <v>Nva-2</v>
      </c>
    </row>
    <row r="236" spans="1:15" ht="115.2" x14ac:dyDescent="0.3">
      <c r="A236" s="5" t="s">
        <v>626</v>
      </c>
      <c r="B236" s="6" t="s">
        <v>53</v>
      </c>
      <c r="C236" s="6" t="s">
        <v>782</v>
      </c>
      <c r="D236" s="6" t="s">
        <v>303</v>
      </c>
      <c r="E236" s="6" t="s">
        <v>304</v>
      </c>
      <c r="F236" s="6" t="s">
        <v>305</v>
      </c>
      <c r="G236" s="6" t="s">
        <v>306</v>
      </c>
      <c r="H236" s="6" t="s">
        <v>145</v>
      </c>
      <c r="I236" s="6" t="s">
        <v>145</v>
      </c>
      <c r="J236" s="6" t="s">
        <v>145</v>
      </c>
      <c r="K236" s="6" t="s">
        <v>145</v>
      </c>
      <c r="L236" s="6" t="s">
        <v>145</v>
      </c>
      <c r="M236" s="6" t="s">
        <v>145</v>
      </c>
      <c r="N236" s="7" t="s">
        <v>304</v>
      </c>
      <c r="O236" s="5" t="str" cm="1">
        <f t="array" ref="O236">_xlfn.XLOOKUP(Tabella2[[#This Row],[Corretta]],Tabella2[[#This Row],[opzione 1]:[opzione 10]],Tabella2[[#This Row],[opzione 1]:[opzione 10]])</f>
        <v>Men, materials, methods, machines, environment</v>
      </c>
    </row>
    <row r="237" spans="1:15" ht="43.2" x14ac:dyDescent="0.3">
      <c r="A237" s="5" t="s">
        <v>626</v>
      </c>
      <c r="B237" s="8" t="s">
        <v>64</v>
      </c>
      <c r="C237" s="8" t="s">
        <v>65</v>
      </c>
      <c r="D237" s="8" t="s">
        <v>66</v>
      </c>
      <c r="E237" s="8" t="s">
        <v>67</v>
      </c>
      <c r="F237" s="8" t="s">
        <v>68</v>
      </c>
      <c r="G237" s="8" t="s">
        <v>69</v>
      </c>
      <c r="H237" s="8" t="s">
        <v>145</v>
      </c>
      <c r="I237" s="8" t="s">
        <v>145</v>
      </c>
      <c r="J237" s="8" t="s">
        <v>145</v>
      </c>
      <c r="K237" s="8" t="s">
        <v>145</v>
      </c>
      <c r="L237" s="8" t="s">
        <v>145</v>
      </c>
      <c r="M237" s="8" t="s">
        <v>145</v>
      </c>
      <c r="N237" s="9" t="s">
        <v>66</v>
      </c>
      <c r="O237" s="5" t="str" cm="1">
        <f t="array" ref="O237">_xlfn.XLOOKUP(Tabella2[[#This Row],[Corretta]],Tabella2[[#This Row],[opzione 1]:[opzione 10]],Tabella2[[#This Row],[opzione 1]:[opzione 10]])</f>
        <v>Qualità, costi e tempi</v>
      </c>
    </row>
    <row r="238" spans="1:15" ht="259.2" x14ac:dyDescent="0.3">
      <c r="A238" s="5" t="s">
        <v>626</v>
      </c>
      <c r="B238" s="6" t="s">
        <v>64</v>
      </c>
      <c r="C238" s="6" t="s">
        <v>308</v>
      </c>
      <c r="D238" s="6" t="s">
        <v>70</v>
      </c>
      <c r="E238" s="6" t="s">
        <v>71</v>
      </c>
      <c r="F238" s="6" t="s">
        <v>72</v>
      </c>
      <c r="G238" s="6" t="s">
        <v>73</v>
      </c>
      <c r="H238" s="6" t="s">
        <v>145</v>
      </c>
      <c r="I238" s="6" t="s">
        <v>145</v>
      </c>
      <c r="J238" s="6" t="s">
        <v>145</v>
      </c>
      <c r="K238" s="6" t="s">
        <v>145</v>
      </c>
      <c r="L238" s="6" t="s">
        <v>145</v>
      </c>
      <c r="M238" s="6" t="s">
        <v>145</v>
      </c>
      <c r="N238" s="7" t="s">
        <v>72</v>
      </c>
      <c r="O238" s="5" t="str" cm="1">
        <f t="array" ref="O238">_xlfn.XLOOKUP(Tabella2[[#This Row],[Corretta]],Tabella2[[#This Row],[opzione 1]:[opzione 10]],Tabella2[[#This Row],[opzione 1]:[opzione 10]])</f>
        <v>Tempo effettivo impiegato da una singola risorsa trasformante per processare interamente un'unità di prodotto, senza interruzioni</v>
      </c>
    </row>
    <row r="239" spans="1:15" ht="72" x14ac:dyDescent="0.3">
      <c r="A239" s="5" t="s">
        <v>626</v>
      </c>
      <c r="B239" s="8" t="s">
        <v>64</v>
      </c>
      <c r="C239" s="8" t="s">
        <v>571</v>
      </c>
      <c r="D239" s="8" t="s">
        <v>74</v>
      </c>
      <c r="E239" s="8" t="s">
        <v>75</v>
      </c>
      <c r="F239" s="8" t="s">
        <v>309</v>
      </c>
      <c r="G239" s="8" t="s">
        <v>570</v>
      </c>
      <c r="H239" s="8" t="s">
        <v>145</v>
      </c>
      <c r="I239" s="8" t="s">
        <v>145</v>
      </c>
      <c r="J239" s="8" t="s">
        <v>145</v>
      </c>
      <c r="K239" s="8" t="s">
        <v>145</v>
      </c>
      <c r="L239" s="8" t="s">
        <v>145</v>
      </c>
      <c r="M239" s="8" t="s">
        <v>145</v>
      </c>
      <c r="N239" s="9" t="s">
        <v>74</v>
      </c>
      <c r="O239" s="5" t="str" cm="1">
        <f t="array" ref="O239">_xlfn.XLOOKUP(Tabella2[[#This Row],[Corretta]],Tabella2[[#This Row],[opzione 1]:[opzione 10]],Tabella2[[#This Row],[opzione 1]:[opzione 10]])</f>
        <v>Rappresenta il ritmo della domanda</v>
      </c>
    </row>
    <row r="240" spans="1:15" ht="43.2" x14ac:dyDescent="0.3">
      <c r="A240" s="5" t="s">
        <v>626</v>
      </c>
      <c r="B240" s="6" t="s">
        <v>64</v>
      </c>
      <c r="C240" s="6" t="s">
        <v>572</v>
      </c>
      <c r="D240" s="6" t="s">
        <v>76</v>
      </c>
      <c r="E240" s="6" t="s">
        <v>574</v>
      </c>
      <c r="F240" s="6" t="s">
        <v>573</v>
      </c>
      <c r="G240" s="6" t="s">
        <v>77</v>
      </c>
      <c r="H240" s="6" t="s">
        <v>145</v>
      </c>
      <c r="I240" s="6" t="s">
        <v>145</v>
      </c>
      <c r="J240" s="6" t="s">
        <v>145</v>
      </c>
      <c r="K240" s="6" t="s">
        <v>145</v>
      </c>
      <c r="L240" s="6" t="s">
        <v>145</v>
      </c>
      <c r="M240" s="6" t="s">
        <v>145</v>
      </c>
      <c r="N240" s="7" t="s">
        <v>77</v>
      </c>
      <c r="O240" s="5" t="str" cm="1">
        <f t="array" ref="O240">_xlfn.XLOOKUP(Tabella2[[#This Row],[Corretta]],Tabella2[[#This Row],[opzione 1]:[opzione 10]],Tabella2[[#This Row],[opzione 1]:[opzione 10]])</f>
        <v>252 s</v>
      </c>
    </row>
    <row r="241" spans="1:15" ht="288" x14ac:dyDescent="0.3">
      <c r="A241" s="5" t="s">
        <v>626</v>
      </c>
      <c r="B241" s="8" t="s">
        <v>64</v>
      </c>
      <c r="C241" s="8" t="s">
        <v>310</v>
      </c>
      <c r="D241" s="8" t="s">
        <v>74</v>
      </c>
      <c r="E241" s="8" t="s">
        <v>75</v>
      </c>
      <c r="F241" s="8" t="s">
        <v>78</v>
      </c>
      <c r="G241" s="8" t="s">
        <v>570</v>
      </c>
      <c r="H241" s="8" t="s">
        <v>145</v>
      </c>
      <c r="I241" s="8" t="s">
        <v>145</v>
      </c>
      <c r="J241" s="8" t="s">
        <v>145</v>
      </c>
      <c r="K241" s="8" t="s">
        <v>145</v>
      </c>
      <c r="L241" s="8" t="s">
        <v>145</v>
      </c>
      <c r="M241" s="8" t="s">
        <v>145</v>
      </c>
      <c r="N241" s="9" t="s">
        <v>78</v>
      </c>
      <c r="O241" s="5" t="str" cm="1">
        <f t="array" ref="O241">_xlfn.XLOOKUP(Tabella2[[#This Row],[Corretta]],Tabella2[[#This Row],[opzione 1]:[opzione 10]],Tabella2[[#This Row],[opzione 1]:[opzione 10]])</f>
        <v>Rappresenta il ritmo della produzione, ed indica quanto tempo passa, in media, tra l'uscita di due pezzi consecutivi dal processo (o dall'operazione)</v>
      </c>
    </row>
    <row r="242" spans="1:15" ht="100.8" x14ac:dyDescent="0.3">
      <c r="A242" s="5" t="s">
        <v>626</v>
      </c>
      <c r="B242" s="6" t="s">
        <v>64</v>
      </c>
      <c r="C242" s="6" t="s">
        <v>311</v>
      </c>
      <c r="D242" s="6" t="s">
        <v>79</v>
      </c>
      <c r="E242" s="6" t="s">
        <v>80</v>
      </c>
      <c r="F242" s="6" t="s">
        <v>802</v>
      </c>
      <c r="G242" s="6" t="s">
        <v>81</v>
      </c>
      <c r="H242" s="6" t="s">
        <v>145</v>
      </c>
      <c r="I242" s="6" t="s">
        <v>145</v>
      </c>
      <c r="J242" s="6" t="s">
        <v>145</v>
      </c>
      <c r="K242" s="6" t="s">
        <v>145</v>
      </c>
      <c r="L242" s="6" t="s">
        <v>145</v>
      </c>
      <c r="M242" s="6" t="s">
        <v>145</v>
      </c>
      <c r="N242" s="7" t="s">
        <v>81</v>
      </c>
      <c r="O242" s="5" t="str" cm="1">
        <f t="array" ref="O242">_xlfn.XLOOKUP(Tabella2[[#This Row],[Corretta]],Tabella2[[#This Row],[opzione 1]:[opzione 10]],Tabella2[[#This Row],[opzione 1]:[opzione 10]])</f>
        <v>Il numero di risorse è determinato sulla base del takt time</v>
      </c>
    </row>
    <row r="243" spans="1:15" ht="57.6" x14ac:dyDescent="0.3">
      <c r="A243" s="5" t="s">
        <v>626</v>
      </c>
      <c r="B243" s="8" t="s">
        <v>64</v>
      </c>
      <c r="C243" s="8" t="s">
        <v>82</v>
      </c>
      <c r="D243" s="8" t="s">
        <v>800</v>
      </c>
      <c r="E243" s="8" t="s">
        <v>83</v>
      </c>
      <c r="F243" s="8" t="s">
        <v>314</v>
      </c>
      <c r="G243" s="8" t="s">
        <v>315</v>
      </c>
      <c r="H243" s="8" t="s">
        <v>145</v>
      </c>
      <c r="I243" s="8" t="s">
        <v>145</v>
      </c>
      <c r="J243" s="8" t="s">
        <v>145</v>
      </c>
      <c r="K243" s="8" t="s">
        <v>145</v>
      </c>
      <c r="L243" s="8" t="s">
        <v>145</v>
      </c>
      <c r="M243" s="8" t="s">
        <v>145</v>
      </c>
      <c r="N243" s="9" t="s">
        <v>800</v>
      </c>
      <c r="O243" s="5" t="str" cm="1">
        <f t="array" ref="O243">_xlfn.XLOOKUP(Tabella2[[#This Row],[Corretta]],Tabella2[[#This Row],[opzione 1]:[opzione 10]],Tabella2[[#This Row],[opzione 1]:[opzione 10]])</f>
        <v>Demand time e LT di risposta</v>
      </c>
    </row>
    <row r="244" spans="1:15" ht="115.2" x14ac:dyDescent="0.3">
      <c r="A244" s="5" t="s">
        <v>626</v>
      </c>
      <c r="B244" s="6" t="s">
        <v>64</v>
      </c>
      <c r="C244" s="6" t="s">
        <v>84</v>
      </c>
      <c r="D244" s="6" t="s">
        <v>85</v>
      </c>
      <c r="E244" s="6" t="s">
        <v>86</v>
      </c>
      <c r="F244" s="6" t="s">
        <v>87</v>
      </c>
      <c r="G244" s="6" t="s">
        <v>88</v>
      </c>
      <c r="H244" s="6" t="s">
        <v>145</v>
      </c>
      <c r="I244" s="6" t="s">
        <v>145</v>
      </c>
      <c r="J244" s="6" t="s">
        <v>145</v>
      </c>
      <c r="K244" s="6" t="s">
        <v>145</v>
      </c>
      <c r="L244" s="6" t="s">
        <v>145</v>
      </c>
      <c r="M244" s="6" t="s">
        <v>145</v>
      </c>
      <c r="N244" s="7" t="s">
        <v>85</v>
      </c>
      <c r="O244" s="5" t="str" cm="1">
        <f t="array" ref="O244">_xlfn.XLOOKUP(Tabella2[[#This Row],[Corretta]],Tabella2[[#This Row],[opzione 1]:[opzione 10]],Tabella2[[#This Row],[opzione 1]:[opzione 10]])</f>
        <v>È uno strumento per il controllo del flusso pull disaccoppiato</v>
      </c>
    </row>
    <row r="245" spans="1:15" ht="129.6" x14ac:dyDescent="0.3">
      <c r="A245" s="5" t="s">
        <v>626</v>
      </c>
      <c r="B245" s="8" t="s">
        <v>89</v>
      </c>
      <c r="C245" s="8" t="s">
        <v>90</v>
      </c>
      <c r="D245" s="8" t="s">
        <v>316</v>
      </c>
      <c r="E245" s="8" t="s">
        <v>91</v>
      </c>
      <c r="F245" s="8" t="s">
        <v>92</v>
      </c>
      <c r="G245" s="8" t="s">
        <v>93</v>
      </c>
      <c r="H245" s="8" t="s">
        <v>145</v>
      </c>
      <c r="I245" s="8" t="s">
        <v>145</v>
      </c>
      <c r="J245" s="8" t="s">
        <v>145</v>
      </c>
      <c r="K245" s="8" t="s">
        <v>145</v>
      </c>
      <c r="L245" s="8" t="s">
        <v>145</v>
      </c>
      <c r="M245" s="8" t="s">
        <v>145</v>
      </c>
      <c r="N245" s="9" t="s">
        <v>316</v>
      </c>
      <c r="O245" s="5" t="str" cm="1">
        <f t="array" ref="O245">_xlfn.XLOOKUP(Tabella2[[#This Row],[Corretta]],Tabella2[[#This Row],[opzione 1]:[opzione 10]],Tabella2[[#This Row],[opzione 1]:[opzione 10]])</f>
        <v>Specifico, misurabile, adottabile, rilevante, temporale</v>
      </c>
    </row>
    <row r="246" spans="1:15" ht="100.8" x14ac:dyDescent="0.3">
      <c r="A246" s="5" t="s">
        <v>626</v>
      </c>
      <c r="B246" s="6" t="s">
        <v>94</v>
      </c>
      <c r="C246" s="6" t="s">
        <v>271</v>
      </c>
      <c r="D246" s="6" t="s">
        <v>317</v>
      </c>
      <c r="E246" s="6" t="s">
        <v>318</v>
      </c>
      <c r="F246" s="6" t="s">
        <v>319</v>
      </c>
      <c r="G246" s="6" t="s">
        <v>320</v>
      </c>
      <c r="H246" s="6" t="s">
        <v>145</v>
      </c>
      <c r="I246" s="6" t="s">
        <v>145</v>
      </c>
      <c r="J246" s="6" t="s">
        <v>145</v>
      </c>
      <c r="K246" s="6" t="s">
        <v>145</v>
      </c>
      <c r="L246" s="6" t="s">
        <v>145</v>
      </c>
      <c r="M246" s="6" t="s">
        <v>145</v>
      </c>
      <c r="N246" s="7" t="s">
        <v>319</v>
      </c>
      <c r="O246" s="5" t="str" cm="1">
        <f t="array" ref="O246">_xlfn.XLOOKUP(Tabella2[[#This Row],[Corretta]],Tabella2[[#This Row],[opzione 1]:[opzione 10]],Tabella2[[#This Row],[opzione 1]:[opzione 10]])</f>
        <v>Cercare di trasformare i resistenti in innovatori</v>
      </c>
    </row>
    <row r="247" spans="1:15" ht="72" x14ac:dyDescent="0.3">
      <c r="A247" s="5" t="s">
        <v>626</v>
      </c>
      <c r="B247" s="8" t="s">
        <v>94</v>
      </c>
      <c r="C247" s="8" t="s">
        <v>95</v>
      </c>
      <c r="D247" s="8" t="s">
        <v>96</v>
      </c>
      <c r="E247" s="8" t="s">
        <v>766</v>
      </c>
      <c r="F247" s="8" t="s">
        <v>96</v>
      </c>
      <c r="G247" s="8" t="s">
        <v>98</v>
      </c>
      <c r="H247" s="8" t="s">
        <v>145</v>
      </c>
      <c r="I247" s="8" t="s">
        <v>145</v>
      </c>
      <c r="J247" s="8" t="s">
        <v>145</v>
      </c>
      <c r="K247" s="8" t="s">
        <v>145</v>
      </c>
      <c r="L247" s="8" t="s">
        <v>145</v>
      </c>
      <c r="M247" s="8" t="s">
        <v>145</v>
      </c>
      <c r="N247" s="8" t="s">
        <v>766</v>
      </c>
      <c r="O247" s="5" t="str" cm="1">
        <f t="array" ref="O247">_xlfn.XLOOKUP(Tabella2[[#This Row],[Corretta]],Tabella2[[#This Row],[opzione 1]:[opzione 10]],Tabella2[[#This Row],[opzione 1]:[opzione 10]])</f>
        <v>Oppositori, resistenti, innovatori</v>
      </c>
    </row>
    <row r="248" spans="1:15" x14ac:dyDescent="0.3">
      <c r="A248" s="5" t="s">
        <v>626</v>
      </c>
      <c r="B248" s="6" t="s">
        <v>35</v>
      </c>
      <c r="C248" s="6" t="s">
        <v>336</v>
      </c>
      <c r="D248" s="6" t="s">
        <v>337</v>
      </c>
      <c r="E248" s="6" t="s">
        <v>338</v>
      </c>
      <c r="F248" s="6" t="s">
        <v>339</v>
      </c>
      <c r="G248" s="6" t="s">
        <v>145</v>
      </c>
      <c r="H248" s="6" t="s">
        <v>145</v>
      </c>
      <c r="I248" s="6" t="s">
        <v>145</v>
      </c>
      <c r="J248" s="6" t="s">
        <v>145</v>
      </c>
      <c r="K248" s="6" t="s">
        <v>145</v>
      </c>
      <c r="L248" s="6" t="s">
        <v>145</v>
      </c>
      <c r="M248" s="6" t="s">
        <v>145</v>
      </c>
      <c r="N248" s="7" t="s">
        <v>338</v>
      </c>
      <c r="O248" s="5" t="str" cm="1">
        <f t="array" ref="O248">_xlfn.XLOOKUP(Tabella2[[#This Row],[Corretta]],Tabella2[[#This Row],[opzione 1]:[opzione 10]],Tabella2[[#This Row],[opzione 1]:[opzione 10]])</f>
        <v>Costo</v>
      </c>
    </row>
    <row r="249" spans="1:15" ht="316.8" x14ac:dyDescent="0.3">
      <c r="A249" s="5" t="s">
        <v>626</v>
      </c>
      <c r="B249" s="8" t="s">
        <v>35</v>
      </c>
      <c r="C249" s="8" t="s">
        <v>340</v>
      </c>
      <c r="D249" s="8" t="s">
        <v>767</v>
      </c>
      <c r="E249" s="8" t="s">
        <v>124</v>
      </c>
      <c r="F249" s="8" t="s">
        <v>125</v>
      </c>
      <c r="G249" s="8" t="s">
        <v>126</v>
      </c>
      <c r="H249" s="8" t="s">
        <v>145</v>
      </c>
      <c r="I249" s="8" t="s">
        <v>145</v>
      </c>
      <c r="J249" s="8" t="s">
        <v>145</v>
      </c>
      <c r="K249" s="8" t="s">
        <v>145</v>
      </c>
      <c r="L249" s="8" t="s">
        <v>145</v>
      </c>
      <c r="M249" s="8" t="s">
        <v>145</v>
      </c>
      <c r="N249" s="9" t="s">
        <v>124</v>
      </c>
      <c r="O249" s="5" t="str" cm="1">
        <f t="array" ref="O249">_xlfn.XLOOKUP(Tabella2[[#This Row],[Corretta]],Tabella2[[#This Row],[opzione 1]:[opzione 10]],Tabella2[[#This Row],[opzione 1]:[opzione 10]])</f>
        <v xml:space="preserve">Perché la presenza di attese, stock intermedi, rilavorazioni e trasferimenti genera sprechi che allungano il lead time rispetto al tempo di trasformazione reale
</v>
      </c>
    </row>
    <row r="250" spans="1:15" ht="43.2" x14ac:dyDescent="0.3">
      <c r="A250" s="5" t="s">
        <v>626</v>
      </c>
      <c r="B250" s="6" t="s">
        <v>35</v>
      </c>
      <c r="C250" s="6" t="s">
        <v>341</v>
      </c>
      <c r="D250" s="6" t="s">
        <v>833</v>
      </c>
      <c r="E250" s="6" t="s">
        <v>263</v>
      </c>
      <c r="F250" s="6" t="s">
        <v>265</v>
      </c>
      <c r="G250" s="6" t="s">
        <v>266</v>
      </c>
      <c r="H250" s="6" t="s">
        <v>145</v>
      </c>
      <c r="I250" s="6" t="s">
        <v>145</v>
      </c>
      <c r="J250" s="6" t="s">
        <v>145</v>
      </c>
      <c r="K250" s="6" t="s">
        <v>145</v>
      </c>
      <c r="L250" s="6" t="s">
        <v>145</v>
      </c>
      <c r="M250" s="6" t="s">
        <v>145</v>
      </c>
      <c r="N250" s="7" t="s">
        <v>263</v>
      </c>
      <c r="O250" s="5" t="str" cm="1">
        <f t="array" ref="O250">_xlfn.XLOOKUP(Tabella2[[#This Row],[Corretta]],Tabella2[[#This Row],[opzione 1]:[opzione 10]],Tabella2[[#This Row],[opzione 1]:[opzione 10]])</f>
        <v>4,08€/pz</v>
      </c>
    </row>
    <row r="251" spans="1:15" ht="100.8" x14ac:dyDescent="0.3">
      <c r="A251" s="5" t="s">
        <v>626</v>
      </c>
      <c r="B251" s="8" t="s">
        <v>44</v>
      </c>
      <c r="C251" s="8" t="s">
        <v>734</v>
      </c>
      <c r="D251" s="8" t="s">
        <v>342</v>
      </c>
      <c r="E251" s="8" t="s">
        <v>127</v>
      </c>
      <c r="F251" s="8" t="s">
        <v>343</v>
      </c>
      <c r="G251" s="8" t="s">
        <v>128</v>
      </c>
      <c r="H251" s="8" t="s">
        <v>145</v>
      </c>
      <c r="I251" s="8" t="s">
        <v>145</v>
      </c>
      <c r="J251" s="8" t="s">
        <v>145</v>
      </c>
      <c r="K251" s="8" t="s">
        <v>145</v>
      </c>
      <c r="L251" s="8" t="s">
        <v>145</v>
      </c>
      <c r="M251" s="8" t="s">
        <v>145</v>
      </c>
      <c r="N251" s="9" t="s">
        <v>128</v>
      </c>
      <c r="O251" s="5" t="str" cm="1">
        <f t="array" ref="O251">_xlfn.XLOOKUP(Tabella2[[#This Row],[Corretta]],Tabella2[[#This Row],[opzione 1]:[opzione 10]],Tabella2[[#This Row],[opzione 1]:[opzione 10]])</f>
        <v>Perché dividere il processo in blocchi separati genera sprechi</v>
      </c>
    </row>
    <row r="252" spans="1:15" ht="144" x14ac:dyDescent="0.3">
      <c r="A252" s="5" t="s">
        <v>626</v>
      </c>
      <c r="B252" s="6" t="s">
        <v>44</v>
      </c>
      <c r="C252" s="6" t="s">
        <v>774</v>
      </c>
      <c r="D252" s="6" t="s">
        <v>129</v>
      </c>
      <c r="E252" s="6" t="s">
        <v>130</v>
      </c>
      <c r="F252" s="6" t="s">
        <v>131</v>
      </c>
      <c r="G252" s="6" t="s">
        <v>132</v>
      </c>
      <c r="H252" s="6" t="s">
        <v>145</v>
      </c>
      <c r="I252" s="6" t="s">
        <v>145</v>
      </c>
      <c r="J252" s="6" t="s">
        <v>145</v>
      </c>
      <c r="K252" s="6" t="s">
        <v>145</v>
      </c>
      <c r="L252" s="6" t="s">
        <v>145</v>
      </c>
      <c r="M252" s="6" t="s">
        <v>145</v>
      </c>
      <c r="N252" s="7" t="s">
        <v>129</v>
      </c>
      <c r="O252" s="5" t="str" cm="1">
        <f t="array" ref="O252">_xlfn.XLOOKUP(Tabella2[[#This Row],[Corretta]],Tabella2[[#This Row],[opzione 1]:[opzione 10]],Tabella2[[#This Row],[opzione 1]:[opzione 10]])</f>
        <v>Perché permette di avere una visione a 360 gradi su quello che si sta analizzando</v>
      </c>
    </row>
    <row r="253" spans="1:15" ht="72" x14ac:dyDescent="0.3">
      <c r="A253" s="5" t="s">
        <v>626</v>
      </c>
      <c r="B253" s="8" t="s">
        <v>44</v>
      </c>
      <c r="C253" s="8" t="s">
        <v>345</v>
      </c>
      <c r="D253" s="8" t="s">
        <v>437</v>
      </c>
      <c r="E253" s="8" t="s">
        <v>438</v>
      </c>
      <c r="F253" s="8" t="s">
        <v>439</v>
      </c>
      <c r="G253" s="8" t="s">
        <v>440</v>
      </c>
      <c r="H253" s="8" t="s">
        <v>145</v>
      </c>
      <c r="I253" s="8" t="s">
        <v>145</v>
      </c>
      <c r="J253" s="8" t="s">
        <v>145</v>
      </c>
      <c r="K253" s="8" t="s">
        <v>145</v>
      </c>
      <c r="L253" s="8" t="s">
        <v>145</v>
      </c>
      <c r="M253" s="8" t="s">
        <v>145</v>
      </c>
      <c r="N253" s="9" t="s">
        <v>437</v>
      </c>
      <c r="O253" s="5" t="str" cm="1">
        <f t="array" ref="O253">_xlfn.XLOOKUP(Tabella2[[#This Row],[Corretta]],Tabella2[[#This Row],[opzione 1]:[opzione 10]],Tabella2[[#This Row],[opzione 1]:[opzione 10]])</f>
        <v>Dopo aver migliorato il flusso operativo</v>
      </c>
    </row>
    <row r="254" spans="1:15" ht="28.8" x14ac:dyDescent="0.3">
      <c r="A254" s="5" t="s">
        <v>626</v>
      </c>
      <c r="B254" s="6" t="s">
        <v>44</v>
      </c>
      <c r="C254" s="6" t="s">
        <v>674</v>
      </c>
      <c r="D254" s="6" t="s">
        <v>441</v>
      </c>
      <c r="E254" s="6" t="s">
        <v>442</v>
      </c>
      <c r="F254" s="6" t="s">
        <v>443</v>
      </c>
      <c r="G254" s="6" t="s">
        <v>444</v>
      </c>
      <c r="H254" s="6" t="s">
        <v>145</v>
      </c>
      <c r="I254" s="6" t="s">
        <v>145</v>
      </c>
      <c r="J254" s="6" t="s">
        <v>145</v>
      </c>
      <c r="K254" s="6" t="s">
        <v>145</v>
      </c>
      <c r="L254" s="6" t="s">
        <v>145</v>
      </c>
      <c r="M254" s="6" t="s">
        <v>145</v>
      </c>
      <c r="N254" s="7" t="s">
        <v>443</v>
      </c>
      <c r="O254" s="5" t="str" cm="1">
        <f t="array" ref="O254">_xlfn.XLOOKUP(Tabella2[[#This Row],[Corretta]],Tabella2[[#This Row],[opzione 1]:[opzione 10]],Tabella2[[#This Row],[opzione 1]:[opzione 10]])</f>
        <v>Workflow</v>
      </c>
    </row>
    <row r="255" spans="1:15" ht="28.8" x14ac:dyDescent="0.3">
      <c r="A255" s="5" t="s">
        <v>626</v>
      </c>
      <c r="B255" s="8" t="s">
        <v>44</v>
      </c>
      <c r="C255" s="8" t="s">
        <v>675</v>
      </c>
      <c r="D255" s="8" t="s">
        <v>441</v>
      </c>
      <c r="E255" s="8" t="s">
        <v>442</v>
      </c>
      <c r="F255" s="8" t="s">
        <v>443</v>
      </c>
      <c r="G255" s="8" t="s">
        <v>445</v>
      </c>
      <c r="H255" s="8" t="s">
        <v>145</v>
      </c>
      <c r="I255" s="8" t="s">
        <v>145</v>
      </c>
      <c r="J255" s="8" t="s">
        <v>145</v>
      </c>
      <c r="K255" s="8" t="s">
        <v>145</v>
      </c>
      <c r="L255" s="8" t="s">
        <v>145</v>
      </c>
      <c r="M255" s="8" t="s">
        <v>145</v>
      </c>
      <c r="N255" s="9" t="s">
        <v>442</v>
      </c>
      <c r="O255" s="5" t="str" cm="1">
        <f t="array" ref="O255">_xlfn.XLOOKUP(Tabella2[[#This Row],[Corretta]],Tabella2[[#This Row],[opzione 1]:[opzione 10]],Tabella2[[#This Row],[opzione 1]:[opzione 10]])</f>
        <v>Flusso operativo</v>
      </c>
    </row>
    <row r="256" spans="1:15" ht="43.2" x14ac:dyDescent="0.3">
      <c r="A256" s="5" t="s">
        <v>626</v>
      </c>
      <c r="B256" s="6" t="s">
        <v>44</v>
      </c>
      <c r="C256" s="6" t="s">
        <v>676</v>
      </c>
      <c r="D256" s="6" t="s">
        <v>441</v>
      </c>
      <c r="E256" s="6" t="s">
        <v>442</v>
      </c>
      <c r="F256" s="6" t="s">
        <v>443</v>
      </c>
      <c r="G256" s="6" t="s">
        <v>445</v>
      </c>
      <c r="H256" s="6" t="s">
        <v>145</v>
      </c>
      <c r="I256" s="6" t="s">
        <v>145</v>
      </c>
      <c r="J256" s="6" t="s">
        <v>145</v>
      </c>
      <c r="K256" s="6" t="s">
        <v>145</v>
      </c>
      <c r="L256" s="6" t="s">
        <v>145</v>
      </c>
      <c r="M256" s="6" t="s">
        <v>145</v>
      </c>
      <c r="N256" s="7" t="s">
        <v>441</v>
      </c>
      <c r="O256" s="5" t="str" cm="1">
        <f t="array" ref="O256">_xlfn.XLOOKUP(Tabella2[[#This Row],[Corretta]],Tabella2[[#This Row],[opzione 1]:[opzione 10]],Tabella2[[#This Row],[opzione 1]:[opzione 10]])</f>
        <v>Flusso informativo</v>
      </c>
    </row>
    <row r="257" spans="1:15" ht="43.2" x14ac:dyDescent="0.3">
      <c r="A257" s="5" t="s">
        <v>626</v>
      </c>
      <c r="B257" s="8" t="s">
        <v>44</v>
      </c>
      <c r="C257" s="8" t="s">
        <v>677</v>
      </c>
      <c r="D257" s="8" t="s">
        <v>441</v>
      </c>
      <c r="E257" s="8" t="s">
        <v>442</v>
      </c>
      <c r="F257" s="8" t="s">
        <v>443</v>
      </c>
      <c r="G257" s="8" t="s">
        <v>445</v>
      </c>
      <c r="H257" s="8" t="s">
        <v>145</v>
      </c>
      <c r="I257" s="8" t="s">
        <v>145</v>
      </c>
      <c r="J257" s="8" t="s">
        <v>145</v>
      </c>
      <c r="K257" s="8" t="s">
        <v>145</v>
      </c>
      <c r="L257" s="8" t="s">
        <v>145</v>
      </c>
      <c r="M257" s="8" t="s">
        <v>145</v>
      </c>
      <c r="N257" s="9" t="s">
        <v>441</v>
      </c>
      <c r="O257" s="5" t="str" cm="1">
        <f t="array" ref="O257">_xlfn.XLOOKUP(Tabella2[[#This Row],[Corretta]],Tabella2[[#This Row],[opzione 1]:[opzione 10]],Tabella2[[#This Row],[opzione 1]:[opzione 10]])</f>
        <v>Flusso informativo</v>
      </c>
    </row>
    <row r="258" spans="1:15" ht="28.8" x14ac:dyDescent="0.3">
      <c r="A258" s="5" t="s">
        <v>626</v>
      </c>
      <c r="B258" s="6" t="s">
        <v>44</v>
      </c>
      <c r="C258" s="6" t="s">
        <v>678</v>
      </c>
      <c r="D258" s="6" t="s">
        <v>441</v>
      </c>
      <c r="E258" s="6" t="s">
        <v>442</v>
      </c>
      <c r="F258" s="6" t="s">
        <v>443</v>
      </c>
      <c r="G258" s="6" t="s">
        <v>445</v>
      </c>
      <c r="H258" s="6" t="s">
        <v>145</v>
      </c>
      <c r="I258" s="6" t="s">
        <v>145</v>
      </c>
      <c r="J258" s="6" t="s">
        <v>145</v>
      </c>
      <c r="K258" s="6" t="s">
        <v>145</v>
      </c>
      <c r="L258" s="6" t="s">
        <v>145</v>
      </c>
      <c r="M258" s="6" t="s">
        <v>145</v>
      </c>
      <c r="N258" s="7" t="s">
        <v>442</v>
      </c>
      <c r="O258" s="5" t="str" cm="1">
        <f t="array" ref="O258">_xlfn.XLOOKUP(Tabella2[[#This Row],[Corretta]],Tabella2[[#This Row],[opzione 1]:[opzione 10]],Tabella2[[#This Row],[opzione 1]:[opzione 10]])</f>
        <v>Flusso operativo</v>
      </c>
    </row>
    <row r="259" spans="1:15" ht="100.8" x14ac:dyDescent="0.3">
      <c r="A259" s="5" t="s">
        <v>626</v>
      </c>
      <c r="B259" s="8" t="s">
        <v>44</v>
      </c>
      <c r="C259" s="8" t="s">
        <v>133</v>
      </c>
      <c r="D259" s="8" t="s">
        <v>134</v>
      </c>
      <c r="E259" s="8" t="s">
        <v>135</v>
      </c>
      <c r="F259" s="8" t="s">
        <v>136</v>
      </c>
      <c r="G259" s="8" t="s">
        <v>137</v>
      </c>
      <c r="H259" s="8" t="s">
        <v>145</v>
      </c>
      <c r="I259" s="8" t="s">
        <v>145</v>
      </c>
      <c r="J259" s="8" t="s">
        <v>145</v>
      </c>
      <c r="K259" s="8" t="s">
        <v>145</v>
      </c>
      <c r="L259" s="8" t="s">
        <v>145</v>
      </c>
      <c r="M259" s="8" t="s">
        <v>145</v>
      </c>
      <c r="N259" s="9" t="s">
        <v>136</v>
      </c>
      <c r="O259" s="5" t="str" cm="1">
        <f t="array" ref="O259">_xlfn.XLOOKUP(Tabella2[[#This Row],[Corretta]],Tabella2[[#This Row],[opzione 1]:[opzione 10]],Tabella2[[#This Row],[opzione 1]:[opzione 10]])</f>
        <v>Formare un operatore per usare due macchine diverse</v>
      </c>
    </row>
    <row r="260" spans="1:15" ht="144" x14ac:dyDescent="0.3">
      <c r="A260" s="5" t="s">
        <v>626</v>
      </c>
      <c r="B260" s="6" t="s">
        <v>44</v>
      </c>
      <c r="C260" s="6" t="s">
        <v>735</v>
      </c>
      <c r="D260" s="6" t="s">
        <v>346</v>
      </c>
      <c r="E260" s="6" t="s">
        <v>138</v>
      </c>
      <c r="F260" s="6" t="s">
        <v>139</v>
      </c>
      <c r="G260" s="6" t="s">
        <v>768</v>
      </c>
      <c r="H260" s="6" t="s">
        <v>145</v>
      </c>
      <c r="I260" s="6" t="s">
        <v>145</v>
      </c>
      <c r="J260" s="6" t="s">
        <v>145</v>
      </c>
      <c r="K260" s="6" t="s">
        <v>145</v>
      </c>
      <c r="L260" s="6" t="s">
        <v>145</v>
      </c>
      <c r="M260" s="6" t="s">
        <v>145</v>
      </c>
      <c r="N260" s="7" t="s">
        <v>138</v>
      </c>
      <c r="O260" s="5" t="str" cm="1">
        <f t="array" ref="O260">_xlfn.XLOOKUP(Tabella2[[#This Row],[Corretta]],Tabella2[[#This Row],[opzione 1]:[opzione 10]],Tabella2[[#This Row],[opzione 1]:[opzione 10]])</f>
        <v>Gli ordini vengono evasi nei tempi medi ma con forte variabilità nei lead time cliente</v>
      </c>
    </row>
    <row r="261" spans="1:15" ht="100.8" x14ac:dyDescent="0.3">
      <c r="A261" s="5" t="s">
        <v>626</v>
      </c>
      <c r="B261" s="8" t="s">
        <v>44</v>
      </c>
      <c r="C261" s="8" t="s">
        <v>140</v>
      </c>
      <c r="D261" s="8" t="s">
        <v>141</v>
      </c>
      <c r="E261" s="8" t="s">
        <v>262</v>
      </c>
      <c r="F261" s="8" t="s">
        <v>260</v>
      </c>
      <c r="G261" s="8" t="s">
        <v>142</v>
      </c>
      <c r="H261" s="8" t="s">
        <v>145</v>
      </c>
      <c r="I261" s="8" t="s">
        <v>145</v>
      </c>
      <c r="J261" s="8" t="s">
        <v>145</v>
      </c>
      <c r="K261" s="8" t="s">
        <v>145</v>
      </c>
      <c r="L261" s="8" t="s">
        <v>145</v>
      </c>
      <c r="M261" s="8" t="s">
        <v>145</v>
      </c>
      <c r="N261" s="9" t="s">
        <v>260</v>
      </c>
      <c r="O261" s="5" t="str" cm="1">
        <f t="array" ref="O261">_xlfn.XLOOKUP(Tabella2[[#This Row],[Corretta]],Tabella2[[#This Row],[opzione 1]:[opzione 10]],Tabella2[[#This Row],[opzione 1]:[opzione 10]])</f>
        <v>Migliorare il flusso informativo spesso risolve i problemi operativi</v>
      </c>
    </row>
    <row r="262" spans="1:15" ht="100.8" x14ac:dyDescent="0.3">
      <c r="A262" s="5" t="s">
        <v>626</v>
      </c>
      <c r="B262" s="6" t="s">
        <v>44</v>
      </c>
      <c r="C262" s="6" t="s">
        <v>679</v>
      </c>
      <c r="D262" s="6" t="s">
        <v>446</v>
      </c>
      <c r="E262" s="6" t="s">
        <v>447</v>
      </c>
      <c r="F262" s="6" t="s">
        <v>259</v>
      </c>
      <c r="G262" s="6" t="s">
        <v>448</v>
      </c>
      <c r="H262" s="6" t="s">
        <v>145</v>
      </c>
      <c r="I262" s="6" t="s">
        <v>145</v>
      </c>
      <c r="J262" s="6" t="s">
        <v>145</v>
      </c>
      <c r="K262" s="6" t="s">
        <v>145</v>
      </c>
      <c r="L262" s="6" t="s">
        <v>145</v>
      </c>
      <c r="M262" s="6" t="s">
        <v>145</v>
      </c>
      <c r="N262" s="7" t="s">
        <v>259</v>
      </c>
      <c r="O262" s="5" t="str" cm="1">
        <f t="array" ref="O262">_xlfn.XLOOKUP(Tabella2[[#This Row],[Corretta]],Tabella2[[#This Row],[opzione 1]:[opzione 10]],Tabella2[[#This Row],[opzione 1]:[opzione 10]])</f>
        <v>Il flusso informativo è incoerente e non standardizzato</v>
      </c>
    </row>
    <row r="263" spans="1:15" ht="86.4" x14ac:dyDescent="0.3">
      <c r="A263" s="5" t="s">
        <v>626</v>
      </c>
      <c r="B263" s="8" t="s">
        <v>53</v>
      </c>
      <c r="C263" s="8" t="s">
        <v>610</v>
      </c>
      <c r="D263" s="8" t="s">
        <v>607</v>
      </c>
      <c r="E263" s="8" t="s">
        <v>608</v>
      </c>
      <c r="F263" s="8" t="s">
        <v>609</v>
      </c>
      <c r="G263" s="8" t="s">
        <v>449</v>
      </c>
      <c r="H263" s="8" t="s">
        <v>145</v>
      </c>
      <c r="I263" s="8" t="s">
        <v>145</v>
      </c>
      <c r="J263" s="8" t="s">
        <v>145</v>
      </c>
      <c r="K263" s="8" t="s">
        <v>145</v>
      </c>
      <c r="L263" s="8" t="s">
        <v>145</v>
      </c>
      <c r="M263" s="8" t="s">
        <v>145</v>
      </c>
      <c r="N263" s="9" t="s">
        <v>609</v>
      </c>
      <c r="O263" s="5" t="str" cm="1">
        <f t="array" ref="O263">_xlfn.XLOOKUP(Tabella2[[#This Row],[Corretta]],Tabella2[[#This Row],[opzione 1]:[opzione 10]],Tabella2[[#This Row],[opzione 1]:[opzione 10]])</f>
        <v>È un’attività potenzialmente eliminabile</v>
      </c>
    </row>
    <row r="264" spans="1:15" ht="28.8" x14ac:dyDescent="0.3">
      <c r="A264" s="5" t="s">
        <v>626</v>
      </c>
      <c r="B264" s="6" t="s">
        <v>53</v>
      </c>
      <c r="C264" s="6" t="s">
        <v>611</v>
      </c>
      <c r="D264" s="6" t="s">
        <v>612</v>
      </c>
      <c r="E264" s="6" t="s">
        <v>776</v>
      </c>
      <c r="F264" s="6" t="s">
        <v>777</v>
      </c>
      <c r="G264" s="6" t="s">
        <v>450</v>
      </c>
      <c r="H264" s="6" t="s">
        <v>145</v>
      </c>
      <c r="I264" s="6" t="s">
        <v>145</v>
      </c>
      <c r="J264" s="6" t="s">
        <v>145</v>
      </c>
      <c r="K264" s="6" t="s">
        <v>145</v>
      </c>
      <c r="L264" s="6" t="s">
        <v>145</v>
      </c>
      <c r="M264" s="6" t="s">
        <v>145</v>
      </c>
      <c r="N264" s="7" t="s">
        <v>776</v>
      </c>
      <c r="O264" s="5" t="str" cm="1">
        <f t="array" ref="O264">_xlfn.XLOOKUP(Tabella2[[#This Row],[Corretta]],Tabella2[[#This Row],[opzione 1]:[opzione 10]],Tabella2[[#This Row],[opzione 1]:[opzione 10]])</f>
        <v>Attività NVA1</v>
      </c>
    </row>
    <row r="265" spans="1:15" ht="100.8" x14ac:dyDescent="0.3">
      <c r="A265" s="5" t="s">
        <v>626</v>
      </c>
      <c r="B265" s="8" t="s">
        <v>53</v>
      </c>
      <c r="C265" s="8" t="s">
        <v>143</v>
      </c>
      <c r="D265" s="8" t="s">
        <v>616</v>
      </c>
      <c r="E265" s="8" t="s">
        <v>617</v>
      </c>
      <c r="F265" s="8" t="s">
        <v>261</v>
      </c>
      <c r="G265" s="8" t="s">
        <v>451</v>
      </c>
      <c r="H265" s="8" t="s">
        <v>145</v>
      </c>
      <c r="I265" s="8" t="s">
        <v>145</v>
      </c>
      <c r="J265" s="8" t="s">
        <v>145</v>
      </c>
      <c r="K265" s="8" t="s">
        <v>145</v>
      </c>
      <c r="L265" s="8" t="s">
        <v>145</v>
      </c>
      <c r="M265" s="8" t="s">
        <v>145</v>
      </c>
      <c r="N265" s="9" t="s">
        <v>261</v>
      </c>
      <c r="O265" s="5" t="str" cm="1">
        <f t="array" ref="O265">_xlfn.XLOOKUP(Tabella2[[#This Row],[Corretta]],Tabella2[[#This Row],[opzione 1]:[opzione 10]],Tabella2[[#This Row],[opzione 1]:[opzione 10]])</f>
        <v>Standardizzare le componenti per ridurre la varietà e i set-up</v>
      </c>
    </row>
    <row r="266" spans="1:15" ht="28.8" x14ac:dyDescent="0.3">
      <c r="A266" s="5" t="s">
        <v>626</v>
      </c>
      <c r="B266" s="6" t="s">
        <v>53</v>
      </c>
      <c r="C266" s="6" t="s">
        <v>144</v>
      </c>
      <c r="D266" s="6" t="s">
        <v>450</v>
      </c>
      <c r="E266" s="6" t="s">
        <v>452</v>
      </c>
      <c r="F266" s="6" t="s">
        <v>41</v>
      </c>
      <c r="G266" s="6" t="s">
        <v>453</v>
      </c>
      <c r="H266" s="6" t="s">
        <v>145</v>
      </c>
      <c r="I266" s="6" t="s">
        <v>145</v>
      </c>
      <c r="J266" s="6" t="s">
        <v>145</v>
      </c>
      <c r="K266" s="6" t="s">
        <v>145</v>
      </c>
      <c r="L266" s="6" t="s">
        <v>145</v>
      </c>
      <c r="M266" s="6" t="s">
        <v>145</v>
      </c>
      <c r="N266" s="7" t="s">
        <v>450</v>
      </c>
      <c r="O266" s="5" t="str" cm="1">
        <f t="array" ref="O266">_xlfn.XLOOKUP(Tabella2[[#This Row],[Corretta]],Tabella2[[#This Row],[opzione 1]:[opzione 10]],Tabella2[[#This Row],[opzione 1]:[opzione 10]])</f>
        <v>Sovrapproduzione</v>
      </c>
    </row>
    <row r="267" spans="1:15" x14ac:dyDescent="0.3">
      <c r="A267" s="5" t="s">
        <v>626</v>
      </c>
      <c r="B267" s="8" t="s">
        <v>53</v>
      </c>
      <c r="C267" s="8" t="s">
        <v>778</v>
      </c>
      <c r="D267" s="8" t="s">
        <v>454</v>
      </c>
      <c r="E267" s="8" t="s">
        <v>455</v>
      </c>
      <c r="F267" s="8" t="s">
        <v>145</v>
      </c>
      <c r="G267" s="8" t="s">
        <v>145</v>
      </c>
      <c r="H267" s="8" t="s">
        <v>145</v>
      </c>
      <c r="I267" s="8" t="s">
        <v>145</v>
      </c>
      <c r="J267" s="8" t="s">
        <v>145</v>
      </c>
      <c r="K267" s="8" t="s">
        <v>145</v>
      </c>
      <c r="L267" s="8" t="s">
        <v>145</v>
      </c>
      <c r="M267" s="8" t="s">
        <v>145</v>
      </c>
      <c r="N267" s="9" t="s">
        <v>454</v>
      </c>
      <c r="O267" s="5" t="str" cm="1">
        <f t="array" ref="O267">_xlfn.XLOOKUP(Tabella2[[#This Row],[Corretta]],Tabella2[[#This Row],[opzione 1]:[opzione 10]],Tabella2[[#This Row],[opzione 1]:[opzione 10]])</f>
        <v>Vero</v>
      </c>
    </row>
    <row r="268" spans="1:15" ht="28.8" x14ac:dyDescent="0.3">
      <c r="A268" s="5" t="s">
        <v>626</v>
      </c>
      <c r="B268" s="6" t="s">
        <v>53</v>
      </c>
      <c r="C268" s="6" t="s">
        <v>619</v>
      </c>
      <c r="D268" s="7" t="s">
        <v>454</v>
      </c>
      <c r="E268" s="6" t="s">
        <v>455</v>
      </c>
      <c r="F268" s="6" t="s">
        <v>145</v>
      </c>
      <c r="G268" s="6" t="s">
        <v>145</v>
      </c>
      <c r="H268" s="6" t="s">
        <v>145</v>
      </c>
      <c r="I268" s="6" t="s">
        <v>145</v>
      </c>
      <c r="J268" s="6" t="s">
        <v>145</v>
      </c>
      <c r="K268" s="6" t="s">
        <v>145</v>
      </c>
      <c r="L268" s="6" t="s">
        <v>145</v>
      </c>
      <c r="M268" s="6" t="s">
        <v>145</v>
      </c>
      <c r="N268" s="7" t="s">
        <v>454</v>
      </c>
      <c r="O268" s="5" t="str" cm="1">
        <f t="array" ref="O268">_xlfn.XLOOKUP(Tabella2[[#This Row],[Corretta]],Tabella2[[#This Row],[opzione 1]:[opzione 10]],Tabella2[[#This Row],[opzione 1]:[opzione 10]])</f>
        <v>Vero</v>
      </c>
    </row>
    <row r="269" spans="1:15" x14ac:dyDescent="0.3">
      <c r="A269" s="5" t="s">
        <v>626</v>
      </c>
      <c r="B269" s="8" t="s">
        <v>53</v>
      </c>
      <c r="C269" s="8" t="s">
        <v>620</v>
      </c>
      <c r="D269" s="7" t="s">
        <v>454</v>
      </c>
      <c r="E269" s="8" t="s">
        <v>455</v>
      </c>
      <c r="F269" s="8" t="s">
        <v>145</v>
      </c>
      <c r="G269" s="8" t="s">
        <v>145</v>
      </c>
      <c r="H269" s="8" t="s">
        <v>145</v>
      </c>
      <c r="I269" s="8" t="s">
        <v>145</v>
      </c>
      <c r="J269" s="8" t="s">
        <v>145</v>
      </c>
      <c r="K269" s="8" t="s">
        <v>145</v>
      </c>
      <c r="L269" s="8" t="s">
        <v>145</v>
      </c>
      <c r="M269" s="8" t="s">
        <v>145</v>
      </c>
      <c r="N269" s="9" t="s">
        <v>455</v>
      </c>
      <c r="O269" s="5" t="str" cm="1">
        <f t="array" ref="O269">_xlfn.XLOOKUP(Tabella2[[#This Row],[Corretta]],Tabella2[[#This Row],[opzione 1]:[opzione 10]],Tabella2[[#This Row],[opzione 1]:[opzione 10]])</f>
        <v>Falso</v>
      </c>
    </row>
    <row r="270" spans="1:15" ht="28.8" x14ac:dyDescent="0.3">
      <c r="A270" s="5" t="s">
        <v>626</v>
      </c>
      <c r="B270" s="6" t="s">
        <v>53</v>
      </c>
      <c r="C270" s="6" t="s">
        <v>834</v>
      </c>
      <c r="D270" s="7" t="s">
        <v>454</v>
      </c>
      <c r="E270" s="6" t="s">
        <v>455</v>
      </c>
      <c r="F270" s="6" t="s">
        <v>145</v>
      </c>
      <c r="G270" s="6" t="s">
        <v>145</v>
      </c>
      <c r="H270" s="6" t="s">
        <v>145</v>
      </c>
      <c r="I270" s="6" t="s">
        <v>145</v>
      </c>
      <c r="J270" s="6" t="s">
        <v>145</v>
      </c>
      <c r="K270" s="6" t="s">
        <v>145</v>
      </c>
      <c r="L270" s="6" t="s">
        <v>145</v>
      </c>
      <c r="M270" s="6" t="s">
        <v>145</v>
      </c>
      <c r="N270" s="7" t="s">
        <v>454</v>
      </c>
      <c r="O270" s="5" t="str" cm="1">
        <f t="array" ref="O270">_xlfn.XLOOKUP(Tabella2[[#This Row],[Corretta]],Tabella2[[#This Row],[opzione 1]:[opzione 10]],Tabella2[[#This Row],[opzione 1]:[opzione 10]])</f>
        <v>Vero</v>
      </c>
    </row>
    <row r="271" spans="1:15" ht="43.2" x14ac:dyDescent="0.3">
      <c r="A271" s="5" t="s">
        <v>626</v>
      </c>
      <c r="B271" s="8" t="s">
        <v>53</v>
      </c>
      <c r="C271" s="8" t="s">
        <v>781</v>
      </c>
      <c r="D271" s="8" t="s">
        <v>621</v>
      </c>
      <c r="E271" s="8" t="s">
        <v>457</v>
      </c>
      <c r="F271" s="8" t="s">
        <v>458</v>
      </c>
      <c r="G271" s="8" t="s">
        <v>348</v>
      </c>
      <c r="H271" s="8" t="s">
        <v>145</v>
      </c>
      <c r="I271" s="8" t="s">
        <v>145</v>
      </c>
      <c r="J271" s="8" t="s">
        <v>145</v>
      </c>
      <c r="K271" s="8" t="s">
        <v>145</v>
      </c>
      <c r="L271" s="8" t="s">
        <v>145</v>
      </c>
      <c r="M271" s="8" t="s">
        <v>145</v>
      </c>
      <c r="N271" s="9" t="s">
        <v>348</v>
      </c>
      <c r="O271" s="5" t="str" cm="1">
        <f t="array" ref="O271">_xlfn.XLOOKUP(Tabella2[[#This Row],[Corretta]],Tabella2[[#This Row],[opzione 1]:[opzione 10]],Tabella2[[#This Row],[opzione 1]:[opzione 10]])</f>
        <v>Tutte le precedenti</v>
      </c>
    </row>
    <row r="272" spans="1:15" ht="115.2" x14ac:dyDescent="0.3">
      <c r="A272" s="5" t="s">
        <v>626</v>
      </c>
      <c r="B272" s="6" t="s">
        <v>53</v>
      </c>
      <c r="C272" s="6" t="s">
        <v>349</v>
      </c>
      <c r="D272" s="6" t="s">
        <v>459</v>
      </c>
      <c r="E272" s="6" t="s">
        <v>460</v>
      </c>
      <c r="F272" s="6" t="s">
        <v>622</v>
      </c>
      <c r="G272" s="6" t="s">
        <v>461</v>
      </c>
      <c r="H272" s="6" t="s">
        <v>145</v>
      </c>
      <c r="I272" s="6" t="s">
        <v>145</v>
      </c>
      <c r="J272" s="6" t="s">
        <v>145</v>
      </c>
      <c r="K272" s="6" t="s">
        <v>145</v>
      </c>
      <c r="L272" s="6" t="s">
        <v>145</v>
      </c>
      <c r="M272" s="6" t="s">
        <v>145</v>
      </c>
      <c r="N272" s="7" t="s">
        <v>460</v>
      </c>
      <c r="O272" s="5" t="str" cm="1">
        <f t="array" ref="O272">_xlfn.XLOOKUP(Tabella2[[#This Row],[Corretta]],Tabella2[[#This Row],[opzione 1]:[opzione 10]],Tabella2[[#This Row],[opzione 1]:[opzione 10]])</f>
        <v>Dotare ogni postazione di strumenti e materiali dedicati</v>
      </c>
    </row>
    <row r="273" spans="1:15" ht="129.6" x14ac:dyDescent="0.3">
      <c r="A273" s="5" t="s">
        <v>626</v>
      </c>
      <c r="B273" s="8" t="s">
        <v>53</v>
      </c>
      <c r="C273" s="8" t="s">
        <v>625</v>
      </c>
      <c r="D273" s="8" t="s">
        <v>623</v>
      </c>
      <c r="E273" s="8" t="s">
        <v>624</v>
      </c>
      <c r="F273" s="8" t="s">
        <v>463</v>
      </c>
      <c r="G273" s="8" t="s">
        <v>462</v>
      </c>
      <c r="H273" s="8" t="s">
        <v>145</v>
      </c>
      <c r="I273" s="8" t="s">
        <v>145</v>
      </c>
      <c r="J273" s="8" t="s">
        <v>145</v>
      </c>
      <c r="K273" s="8" t="s">
        <v>145</v>
      </c>
      <c r="L273" s="8" t="s">
        <v>145</v>
      </c>
      <c r="M273" s="8" t="s">
        <v>145</v>
      </c>
      <c r="N273" s="9" t="s">
        <v>463</v>
      </c>
      <c r="O273" s="5" t="str" cm="1">
        <f t="array" ref="O273">_xlfn.XLOOKUP(Tabella2[[#This Row],[Corretta]],Tabella2[[#This Row],[opzione 1]:[opzione 10]],Tabella2[[#This Row],[opzione 1]:[opzione 10]])</f>
        <v>Vengono considerati il “male assoluto” da eliminare sistematicamente</v>
      </c>
    </row>
    <row r="274" spans="1:15" ht="129.6" x14ac:dyDescent="0.3">
      <c r="A274" s="5" t="s">
        <v>626</v>
      </c>
      <c r="B274" s="6" t="s">
        <v>64</v>
      </c>
      <c r="C274" s="6" t="s">
        <v>350</v>
      </c>
      <c r="D274" s="6" t="s">
        <v>575</v>
      </c>
      <c r="E274" s="6" t="s">
        <v>465</v>
      </c>
      <c r="F274" s="6" t="s">
        <v>576</v>
      </c>
      <c r="G274" s="6" t="s">
        <v>464</v>
      </c>
      <c r="H274" s="6" t="s">
        <v>145</v>
      </c>
      <c r="I274" s="6" t="s">
        <v>145</v>
      </c>
      <c r="J274" s="6" t="s">
        <v>145</v>
      </c>
      <c r="K274" s="6" t="s">
        <v>145</v>
      </c>
      <c r="L274" s="6" t="s">
        <v>145</v>
      </c>
      <c r="M274" s="6" t="s">
        <v>145</v>
      </c>
      <c r="N274" s="7" t="s">
        <v>465</v>
      </c>
      <c r="O274" s="5" t="str" cm="1">
        <f t="array" ref="O274">_xlfn.XLOOKUP(Tabella2[[#This Row],[Corretta]],Tabella2[[#This Row],[opzione 1]:[opzione 10]],Tabella2[[#This Row],[opzione 1]:[opzione 10]])</f>
        <v>In contesti di alta personalizzazione e variabilità della domanda</v>
      </c>
    </row>
    <row r="275" spans="1:15" ht="187.2" x14ac:dyDescent="0.3">
      <c r="A275" s="5" t="s">
        <v>626</v>
      </c>
      <c r="B275" s="8" t="s">
        <v>64</v>
      </c>
      <c r="C275" s="8" t="s">
        <v>146</v>
      </c>
      <c r="D275" s="8" t="s">
        <v>577</v>
      </c>
      <c r="E275" s="8" t="s">
        <v>578</v>
      </c>
      <c r="F275" s="8" t="s">
        <v>580</v>
      </c>
      <c r="G275" s="8" t="s">
        <v>579</v>
      </c>
      <c r="H275" s="8" t="s">
        <v>145</v>
      </c>
      <c r="I275" s="8" t="s">
        <v>145</v>
      </c>
      <c r="J275" s="8" t="s">
        <v>145</v>
      </c>
      <c r="K275" s="8" t="s">
        <v>145</v>
      </c>
      <c r="L275" s="8" t="s">
        <v>145</v>
      </c>
      <c r="M275" s="8" t="s">
        <v>145</v>
      </c>
      <c r="N275" s="9" t="s">
        <v>580</v>
      </c>
      <c r="O275" s="5" t="str" cm="1">
        <f t="array" ref="O275">_xlfn.XLOOKUP(Tabella2[[#This Row],[Corretta]],Tabella2[[#This Row],[opzione 1]:[opzione 10]],Tabella2[[#This Row],[opzione 1]:[opzione 10]])</f>
        <v>Quando il lead time richiesto è maggiore o uguale al lead time performato e i processi sono stabili</v>
      </c>
    </row>
    <row r="276" spans="1:15" ht="129.6" x14ac:dyDescent="0.3">
      <c r="A276" s="5" t="s">
        <v>626</v>
      </c>
      <c r="B276" s="6" t="s">
        <v>64</v>
      </c>
      <c r="C276" s="6" t="s">
        <v>581</v>
      </c>
      <c r="D276" s="6" t="s">
        <v>582</v>
      </c>
      <c r="E276" s="7" t="s">
        <v>467</v>
      </c>
      <c r="F276" s="6" t="s">
        <v>584</v>
      </c>
      <c r="G276" s="6" t="s">
        <v>466</v>
      </c>
      <c r="H276" s="6" t="s">
        <v>145</v>
      </c>
      <c r="I276" s="6" t="s">
        <v>145</v>
      </c>
      <c r="J276" s="6" t="s">
        <v>145</v>
      </c>
      <c r="K276" s="6" t="s">
        <v>145</v>
      </c>
      <c r="L276" s="6" t="s">
        <v>145</v>
      </c>
      <c r="M276" s="6" t="s">
        <v>145</v>
      </c>
      <c r="N276" s="7" t="s">
        <v>467</v>
      </c>
      <c r="O276" s="5" t="str" cm="1">
        <f t="array" ref="O276">_xlfn.XLOOKUP(Tabella2[[#This Row],[Corretta]],Tabella2[[#This Row],[opzione 1]:[opzione 10]],Tabella2[[#This Row],[opzione 1]:[opzione 10]])</f>
        <v>La produzione è livellata ma non sincronizzata con la domanda</v>
      </c>
    </row>
    <row r="277" spans="1:15" ht="144" x14ac:dyDescent="0.3">
      <c r="A277" s="5" t="s">
        <v>626</v>
      </c>
      <c r="B277" s="8" t="s">
        <v>64</v>
      </c>
      <c r="C277" s="8" t="s">
        <v>587</v>
      </c>
      <c r="D277" s="8" t="s">
        <v>585</v>
      </c>
      <c r="E277" s="8" t="s">
        <v>469</v>
      </c>
      <c r="F277" s="8" t="s">
        <v>586</v>
      </c>
      <c r="G277" s="8" t="s">
        <v>468</v>
      </c>
      <c r="H277" s="8" t="s">
        <v>145</v>
      </c>
      <c r="I277" s="8" t="s">
        <v>145</v>
      </c>
      <c r="J277" s="8" t="s">
        <v>145</v>
      </c>
      <c r="K277" s="8" t="s">
        <v>145</v>
      </c>
      <c r="L277" s="8" t="s">
        <v>145</v>
      </c>
      <c r="M277" s="8" t="s">
        <v>145</v>
      </c>
      <c r="N277" s="9" t="s">
        <v>469</v>
      </c>
      <c r="O277" s="5" t="str" cm="1">
        <f t="array" ref="O277">_xlfn.XLOOKUP(Tabella2[[#This Row],[Corretta]],Tabella2[[#This Row],[opzione 1]:[opzione 10]],Tabella2[[#This Row],[opzione 1]:[opzione 10]])</f>
        <v>Il sistema è progettato per assorbire la complessità invece che ridurla</v>
      </c>
    </row>
    <row r="278" spans="1:15" x14ac:dyDescent="0.3">
      <c r="A278" s="5" t="s">
        <v>626</v>
      </c>
      <c r="B278" s="6" t="s">
        <v>64</v>
      </c>
      <c r="C278" s="6" t="s">
        <v>588</v>
      </c>
      <c r="D278" s="9" t="s">
        <v>454</v>
      </c>
      <c r="E278" s="6" t="s">
        <v>455</v>
      </c>
      <c r="F278" s="6" t="s">
        <v>145</v>
      </c>
      <c r="G278" s="6" t="s">
        <v>145</v>
      </c>
      <c r="H278" s="6" t="s">
        <v>145</v>
      </c>
      <c r="I278" s="6" t="s">
        <v>145</v>
      </c>
      <c r="J278" s="6" t="s">
        <v>145</v>
      </c>
      <c r="K278" s="6" t="s">
        <v>145</v>
      </c>
      <c r="L278" s="6" t="s">
        <v>145</v>
      </c>
      <c r="M278" s="6" t="s">
        <v>145</v>
      </c>
      <c r="N278" s="7" t="s">
        <v>455</v>
      </c>
      <c r="O278" s="5" t="str" cm="1">
        <f t="array" ref="O278">_xlfn.XLOOKUP(Tabella2[[#This Row],[Corretta]],Tabella2[[#This Row],[opzione 1]:[opzione 10]],Tabella2[[#This Row],[opzione 1]:[opzione 10]])</f>
        <v>Falso</v>
      </c>
    </row>
    <row r="279" spans="1:15" x14ac:dyDescent="0.3">
      <c r="A279" s="5" t="s">
        <v>626</v>
      </c>
      <c r="B279" s="8" t="s">
        <v>64</v>
      </c>
      <c r="C279" s="8" t="s">
        <v>589</v>
      </c>
      <c r="D279" s="9" t="s">
        <v>454</v>
      </c>
      <c r="E279" s="8" t="s">
        <v>455</v>
      </c>
      <c r="F279" s="8" t="s">
        <v>145</v>
      </c>
      <c r="G279" s="8" t="s">
        <v>145</v>
      </c>
      <c r="H279" s="8" t="s">
        <v>145</v>
      </c>
      <c r="I279" s="8" t="s">
        <v>145</v>
      </c>
      <c r="J279" s="8" t="s">
        <v>145</v>
      </c>
      <c r="K279" s="8" t="s">
        <v>145</v>
      </c>
      <c r="L279" s="8" t="s">
        <v>145</v>
      </c>
      <c r="M279" s="8" t="s">
        <v>145</v>
      </c>
      <c r="N279" s="9" t="s">
        <v>454</v>
      </c>
      <c r="O279" s="5" t="str" cm="1">
        <f t="array" ref="O279">_xlfn.XLOOKUP(Tabella2[[#This Row],[Corretta]],Tabella2[[#This Row],[opzione 1]:[opzione 10]],Tabella2[[#This Row],[opzione 1]:[opzione 10]])</f>
        <v>Vero</v>
      </c>
    </row>
    <row r="280" spans="1:15" ht="158.4" x14ac:dyDescent="0.3">
      <c r="A280" s="5" t="s">
        <v>626</v>
      </c>
      <c r="B280" s="6" t="s">
        <v>64</v>
      </c>
      <c r="C280" s="6" t="s">
        <v>351</v>
      </c>
      <c r="D280" s="6" t="s">
        <v>593</v>
      </c>
      <c r="E280" s="6" t="s">
        <v>590</v>
      </c>
      <c r="F280" s="6" t="s">
        <v>472</v>
      </c>
      <c r="G280" s="6" t="s">
        <v>591</v>
      </c>
      <c r="H280" s="6" t="s">
        <v>145</v>
      </c>
      <c r="I280" s="6" t="s">
        <v>145</v>
      </c>
      <c r="J280" s="6" t="s">
        <v>145</v>
      </c>
      <c r="K280" s="6" t="s">
        <v>145</v>
      </c>
      <c r="L280" s="6" t="s">
        <v>145</v>
      </c>
      <c r="M280" s="6" t="s">
        <v>145</v>
      </c>
      <c r="N280" s="7" t="s">
        <v>593</v>
      </c>
      <c r="O280" s="5" t="str" cm="1">
        <f t="array" ref="O280">_xlfn.XLOOKUP(Tabella2[[#This Row],[Corretta]],Tabella2[[#This Row],[opzione 1]:[opzione 10]],Tabella2[[#This Row],[opzione 1]:[opzione 10]])</f>
        <v>Non si avranno a disposizione informazioni sulla qualità, sui costi o/e sui tempi corrette</v>
      </c>
    </row>
    <row r="281" spans="1:15" ht="201.6" x14ac:dyDescent="0.3">
      <c r="A281" s="5" t="s">
        <v>626</v>
      </c>
      <c r="B281" s="8" t="s">
        <v>64</v>
      </c>
      <c r="C281" s="8" t="s">
        <v>352</v>
      </c>
      <c r="D281" s="8" t="s">
        <v>593</v>
      </c>
      <c r="E281" s="9" t="s">
        <v>590</v>
      </c>
      <c r="F281" s="8" t="s">
        <v>472</v>
      </c>
      <c r="G281" s="8" t="s">
        <v>591</v>
      </c>
      <c r="H281" s="8" t="s">
        <v>145</v>
      </c>
      <c r="I281" s="8" t="s">
        <v>145</v>
      </c>
      <c r="J281" s="8" t="s">
        <v>145</v>
      </c>
      <c r="K281" s="8" t="s">
        <v>145</v>
      </c>
      <c r="L281" s="8" t="s">
        <v>145</v>
      </c>
      <c r="M281" s="8" t="s">
        <v>145</v>
      </c>
      <c r="N281" s="9" t="s">
        <v>590</v>
      </c>
      <c r="O281" s="5" t="str" cm="1">
        <f t="array" ref="O281">_xlfn.XLOOKUP(Tabella2[[#This Row],[Corretta]],Tabella2[[#This Row],[opzione 1]:[opzione 10]],Tabella2[[#This Row],[opzione 1]:[opzione 10]])</f>
        <v>Le informazioni parziali verranno interpretate in autonomia, generando variabilità tra operatori</v>
      </c>
    </row>
    <row r="282" spans="1:15" ht="158.4" x14ac:dyDescent="0.3">
      <c r="A282" s="5" t="s">
        <v>626</v>
      </c>
      <c r="B282" s="6" t="s">
        <v>64</v>
      </c>
      <c r="C282" s="6" t="s">
        <v>353</v>
      </c>
      <c r="D282" s="6" t="s">
        <v>593</v>
      </c>
      <c r="E282" s="6" t="s">
        <v>590</v>
      </c>
      <c r="F282" s="7" t="s">
        <v>592</v>
      </c>
      <c r="G282" s="6" t="s">
        <v>591</v>
      </c>
      <c r="H282" s="6" t="s">
        <v>145</v>
      </c>
      <c r="I282" s="6" t="s">
        <v>145</v>
      </c>
      <c r="J282" s="6" t="s">
        <v>145</v>
      </c>
      <c r="K282" s="6" t="s">
        <v>145</v>
      </c>
      <c r="L282" s="6" t="s">
        <v>145</v>
      </c>
      <c r="M282" s="6" t="s">
        <v>145</v>
      </c>
      <c r="N282" s="7" t="s">
        <v>592</v>
      </c>
      <c r="O282" s="5" t="str" cm="1">
        <f t="array" ref="O282">_xlfn.XLOOKUP(Tabella2[[#This Row],[Corretta]],Tabella2[[#This Row],[opzione 1]:[opzione 10]],Tabella2[[#This Row],[opzione 1]:[opzione 10]])</f>
        <v>Si avranno a disposizione informazioni sulla qualità, sui costi o/e sui tempi errate</v>
      </c>
    </row>
    <row r="283" spans="1:15" ht="172.8" x14ac:dyDescent="0.3">
      <c r="A283" s="5" t="s">
        <v>626</v>
      </c>
      <c r="B283" s="8" t="s">
        <v>64</v>
      </c>
      <c r="C283" s="8" t="s">
        <v>354</v>
      </c>
      <c r="D283" s="8" t="s">
        <v>593</v>
      </c>
      <c r="E283" s="8" t="s">
        <v>590</v>
      </c>
      <c r="F283" s="8" t="s">
        <v>472</v>
      </c>
      <c r="G283" s="8" t="s">
        <v>591</v>
      </c>
      <c r="H283" s="8" t="s">
        <v>145</v>
      </c>
      <c r="I283" s="8" t="s">
        <v>145</v>
      </c>
      <c r="J283" s="8" t="s">
        <v>145</v>
      </c>
      <c r="K283" s="8" t="s">
        <v>145</v>
      </c>
      <c r="L283" s="8" t="s">
        <v>145</v>
      </c>
      <c r="M283" s="8" t="s">
        <v>145</v>
      </c>
      <c r="N283" s="9" t="s">
        <v>591</v>
      </c>
      <c r="O283" s="5" t="str" cm="1">
        <f t="array" ref="O283">_xlfn.XLOOKUP(Tabella2[[#This Row],[Corretta]],Tabella2[[#This Row],[opzione 1]:[opzione 10]],Tabella2[[#This Row],[opzione 1]:[opzione 10]])</f>
        <v>L’attività verrà svolta corretamente, ma potrebbe mancare il momento preciso di consegna al cliente</v>
      </c>
    </row>
    <row r="284" spans="1:15" ht="28.8" x14ac:dyDescent="0.3">
      <c r="A284" s="5" t="s">
        <v>626</v>
      </c>
      <c r="B284" s="6" t="s">
        <v>64</v>
      </c>
      <c r="C284" s="6" t="s">
        <v>596</v>
      </c>
      <c r="D284" s="6" t="s">
        <v>595</v>
      </c>
      <c r="E284" s="6" t="s">
        <v>455</v>
      </c>
      <c r="F284" s="6" t="s">
        <v>145</v>
      </c>
      <c r="G284" s="6" t="s">
        <v>145</v>
      </c>
      <c r="H284" s="6" t="s">
        <v>145</v>
      </c>
      <c r="I284" s="6" t="s">
        <v>145</v>
      </c>
      <c r="J284" s="6" t="s">
        <v>145</v>
      </c>
      <c r="K284" s="6" t="s">
        <v>145</v>
      </c>
      <c r="L284" s="6" t="s">
        <v>145</v>
      </c>
      <c r="M284" s="6" t="s">
        <v>145</v>
      </c>
      <c r="N284" s="7" t="s">
        <v>455</v>
      </c>
      <c r="O284" s="5" t="str" cm="1">
        <f t="array" ref="O284">_xlfn.XLOOKUP(Tabella2[[#This Row],[Corretta]],Tabella2[[#This Row],[opzione 1]:[opzione 10]],Tabella2[[#This Row],[opzione 1]:[opzione 10]])</f>
        <v>Falso</v>
      </c>
    </row>
    <row r="285" spans="1:15" ht="28.8" x14ac:dyDescent="0.3">
      <c r="A285" s="5" t="s">
        <v>626</v>
      </c>
      <c r="B285" s="8" t="s">
        <v>64</v>
      </c>
      <c r="C285" s="8" t="s">
        <v>355</v>
      </c>
      <c r="D285" s="9" t="s">
        <v>454</v>
      </c>
      <c r="E285" s="8" t="s">
        <v>455</v>
      </c>
      <c r="F285" s="8" t="s">
        <v>145</v>
      </c>
      <c r="G285" s="8" t="s">
        <v>145</v>
      </c>
      <c r="H285" s="8" t="s">
        <v>145</v>
      </c>
      <c r="I285" s="8" t="s">
        <v>145</v>
      </c>
      <c r="J285" s="8" t="s">
        <v>145</v>
      </c>
      <c r="K285" s="8" t="s">
        <v>145</v>
      </c>
      <c r="L285" s="8" t="s">
        <v>145</v>
      </c>
      <c r="M285" s="8" t="s">
        <v>145</v>
      </c>
      <c r="N285" s="9" t="s">
        <v>454</v>
      </c>
      <c r="O285" s="5" t="str" cm="1">
        <f t="array" ref="O285">_xlfn.XLOOKUP(Tabella2[[#This Row],[Corretta]],Tabella2[[#This Row],[opzione 1]:[opzione 10]],Tabella2[[#This Row],[opzione 1]:[opzione 10]])</f>
        <v>Vero</v>
      </c>
    </row>
    <row r="286" spans="1:15" ht="172.8" x14ac:dyDescent="0.3">
      <c r="A286" s="5" t="s">
        <v>626</v>
      </c>
      <c r="B286" s="6" t="s">
        <v>64</v>
      </c>
      <c r="C286" s="6" t="s">
        <v>597</v>
      </c>
      <c r="D286" s="6" t="s">
        <v>598</v>
      </c>
      <c r="E286" s="6" t="s">
        <v>599</v>
      </c>
      <c r="F286" s="6" t="s">
        <v>474</v>
      </c>
      <c r="G286" s="6" t="s">
        <v>473</v>
      </c>
      <c r="H286" s="6" t="s">
        <v>145</v>
      </c>
      <c r="I286" s="6" t="s">
        <v>145</v>
      </c>
      <c r="J286" s="6" t="s">
        <v>145</v>
      </c>
      <c r="K286" s="6" t="s">
        <v>145</v>
      </c>
      <c r="L286" s="6" t="s">
        <v>145</v>
      </c>
      <c r="M286" s="6" t="s">
        <v>145</v>
      </c>
      <c r="N286" s="7" t="s">
        <v>474</v>
      </c>
      <c r="O286" s="5" t="str" cm="1">
        <f t="array" ref="O286">_xlfn.XLOOKUP(Tabella2[[#This Row],[Corretta]],Tabella2[[#This Row],[opzione 1]:[opzione 10]],Tabella2[[#This Row],[opzione 1]:[opzione 10]])</f>
        <v>Il processo è potenzialmente disallineato alla domanda, con rischio di generare muda</v>
      </c>
    </row>
    <row r="287" spans="1:15" ht="100.8" x14ac:dyDescent="0.3">
      <c r="A287" s="5" t="s">
        <v>626</v>
      </c>
      <c r="B287" s="8" t="s">
        <v>64</v>
      </c>
      <c r="C287" s="8" t="s">
        <v>600</v>
      </c>
      <c r="D287" s="8" t="s">
        <v>601</v>
      </c>
      <c r="E287" s="8" t="s">
        <v>602</v>
      </c>
      <c r="F287" s="8" t="s">
        <v>476</v>
      </c>
      <c r="G287" s="8" t="s">
        <v>475</v>
      </c>
      <c r="H287" s="8" t="s">
        <v>145</v>
      </c>
      <c r="I287" s="8" t="s">
        <v>145</v>
      </c>
      <c r="J287" s="8" t="s">
        <v>145</v>
      </c>
      <c r="K287" s="8" t="s">
        <v>145</v>
      </c>
      <c r="L287" s="8" t="s">
        <v>145</v>
      </c>
      <c r="M287" s="8" t="s">
        <v>145</v>
      </c>
      <c r="N287" s="9" t="s">
        <v>476</v>
      </c>
      <c r="O287" s="5" t="str" cm="1">
        <f t="array" ref="O287">_xlfn.XLOOKUP(Tabella2[[#This Row],[Corretta]],Tabella2[[#This Row],[opzione 1]:[opzione 10]],Tabella2[[#This Row],[opzione 1]:[opzione 10]])</f>
        <v>Il flusso è più lento della domanda e genera accumulo o ritardi</v>
      </c>
    </row>
    <row r="288" spans="1:15" ht="100.8" x14ac:dyDescent="0.3">
      <c r="A288" s="5" t="s">
        <v>626</v>
      </c>
      <c r="B288" s="6" t="s">
        <v>89</v>
      </c>
      <c r="C288" s="6" t="s">
        <v>680</v>
      </c>
      <c r="D288" s="6" t="s">
        <v>477</v>
      </c>
      <c r="E288" s="6" t="s">
        <v>479</v>
      </c>
      <c r="F288" s="6" t="s">
        <v>790</v>
      </c>
      <c r="G288" s="6" t="s">
        <v>478</v>
      </c>
      <c r="H288" s="6" t="s">
        <v>145</v>
      </c>
      <c r="I288" s="6" t="s">
        <v>145</v>
      </c>
      <c r="J288" s="6" t="s">
        <v>145</v>
      </c>
      <c r="K288" s="6" t="s">
        <v>145</v>
      </c>
      <c r="L288" s="6" t="s">
        <v>145</v>
      </c>
      <c r="M288" s="6" t="s">
        <v>145</v>
      </c>
      <c r="N288" s="7" t="s">
        <v>479</v>
      </c>
      <c r="O288" s="5" t="str" cm="1">
        <f t="array" ref="O288">_xlfn.XLOOKUP(Tabella2[[#This Row],[Corretta]],Tabella2[[#This Row],[opzione 1]:[opzione 10]],Tabella2[[#This Row],[opzione 1]:[opzione 10]])</f>
        <v>Il miglioramento locale ha aumentato gli stock tra le fasi</v>
      </c>
    </row>
    <row r="289" spans="1:15" ht="129.6" x14ac:dyDescent="0.3">
      <c r="A289" s="5" t="s">
        <v>626</v>
      </c>
      <c r="B289" s="8" t="s">
        <v>89</v>
      </c>
      <c r="C289" s="8" t="s">
        <v>681</v>
      </c>
      <c r="D289" s="8" t="s">
        <v>635</v>
      </c>
      <c r="E289" s="8" t="s">
        <v>636</v>
      </c>
      <c r="F289" s="8" t="s">
        <v>481</v>
      </c>
      <c r="G289" s="8" t="s">
        <v>480</v>
      </c>
      <c r="H289" s="8" t="s">
        <v>145</v>
      </c>
      <c r="I289" s="8" t="s">
        <v>145</v>
      </c>
      <c r="J289" s="8" t="s">
        <v>145</v>
      </c>
      <c r="K289" s="8" t="s">
        <v>145</v>
      </c>
      <c r="L289" s="8" t="s">
        <v>145</v>
      </c>
      <c r="M289" s="8" t="s">
        <v>145</v>
      </c>
      <c r="N289" s="9" t="s">
        <v>481</v>
      </c>
      <c r="O289" s="5" t="str" cm="1">
        <f t="array" ref="O289">_xlfn.XLOOKUP(Tabella2[[#This Row],[Corretta]],Tabella2[[#This Row],[opzione 1]:[opzione 10]],Tabella2[[#This Row],[opzione 1]:[opzione 10]])</f>
        <v>Il miglioramento non è stato verificato e standardizzato</v>
      </c>
    </row>
    <row r="290" spans="1:15" ht="28.8" x14ac:dyDescent="0.3">
      <c r="A290" s="5" t="s">
        <v>626</v>
      </c>
      <c r="B290" s="6" t="s">
        <v>89</v>
      </c>
      <c r="C290" s="6" t="s">
        <v>258</v>
      </c>
      <c r="D290" s="6" t="s">
        <v>454</v>
      </c>
      <c r="E290" s="6" t="s">
        <v>455</v>
      </c>
      <c r="F290" s="6" t="s">
        <v>145</v>
      </c>
      <c r="G290" s="6" t="s">
        <v>145</v>
      </c>
      <c r="H290" s="6" t="s">
        <v>145</v>
      </c>
      <c r="I290" s="6" t="s">
        <v>145</v>
      </c>
      <c r="J290" s="6" t="s">
        <v>145</v>
      </c>
      <c r="K290" s="6" t="s">
        <v>145</v>
      </c>
      <c r="L290" s="6" t="s">
        <v>145</v>
      </c>
      <c r="M290" s="6" t="s">
        <v>145</v>
      </c>
      <c r="N290" s="7" t="s">
        <v>454</v>
      </c>
      <c r="O290" s="5" t="str" cm="1">
        <f t="array" ref="O290">_xlfn.XLOOKUP(Tabella2[[#This Row],[Corretta]],Tabella2[[#This Row],[opzione 1]:[opzione 10]],Tabella2[[#This Row],[opzione 1]:[opzione 10]])</f>
        <v>Vero</v>
      </c>
    </row>
    <row r="291" spans="1:15" ht="28.8" x14ac:dyDescent="0.3">
      <c r="A291" s="5" t="s">
        <v>626</v>
      </c>
      <c r="B291" s="8" t="s">
        <v>89</v>
      </c>
      <c r="C291" s="8" t="s">
        <v>257</v>
      </c>
      <c r="D291" s="8" t="s">
        <v>454</v>
      </c>
      <c r="E291" s="8" t="s">
        <v>455</v>
      </c>
      <c r="F291" s="8" t="s">
        <v>145</v>
      </c>
      <c r="G291" s="8" t="s">
        <v>145</v>
      </c>
      <c r="H291" s="8" t="s">
        <v>145</v>
      </c>
      <c r="I291" s="8" t="s">
        <v>145</v>
      </c>
      <c r="J291" s="8" t="s">
        <v>145</v>
      </c>
      <c r="K291" s="8" t="s">
        <v>145</v>
      </c>
      <c r="L291" s="8" t="s">
        <v>145</v>
      </c>
      <c r="M291" s="8" t="s">
        <v>145</v>
      </c>
      <c r="N291" s="9" t="s">
        <v>454</v>
      </c>
      <c r="O291" s="5" t="str" cm="1">
        <f t="array" ref="O291">_xlfn.XLOOKUP(Tabella2[[#This Row],[Corretta]],Tabella2[[#This Row],[opzione 1]:[opzione 10]],Tabella2[[#This Row],[opzione 1]:[opzione 10]])</f>
        <v>Vero</v>
      </c>
    </row>
    <row r="292" spans="1:15" ht="129.6" x14ac:dyDescent="0.3">
      <c r="A292" s="5" t="s">
        <v>626</v>
      </c>
      <c r="B292" s="6" t="s">
        <v>89</v>
      </c>
      <c r="C292" s="6" t="s">
        <v>682</v>
      </c>
      <c r="D292" s="6" t="s">
        <v>637</v>
      </c>
      <c r="E292" s="6" t="s">
        <v>638</v>
      </c>
      <c r="F292" s="6" t="s">
        <v>483</v>
      </c>
      <c r="G292" s="6" t="s">
        <v>482</v>
      </c>
      <c r="H292" s="6" t="s">
        <v>145</v>
      </c>
      <c r="I292" s="6" t="s">
        <v>145</v>
      </c>
      <c r="J292" s="6" t="s">
        <v>145</v>
      </c>
      <c r="K292" s="6" t="s">
        <v>145</v>
      </c>
      <c r="L292" s="6" t="s">
        <v>145</v>
      </c>
      <c r="M292" s="6" t="s">
        <v>145</v>
      </c>
      <c r="N292" s="7" t="s">
        <v>483</v>
      </c>
      <c r="O292" s="5" t="str" cm="1">
        <f t="array" ref="O292">_xlfn.XLOOKUP(Tabella2[[#This Row],[Corretta]],Tabella2[[#This Row],[opzione 1]:[opzione 10]],Tabella2[[#This Row],[opzione 1]:[opzione 10]])</f>
        <v>Verificare la sostenibilità nel tempo e standardizzarla nel contesto locale</v>
      </c>
    </row>
    <row r="293" spans="1:15" ht="28.8" x14ac:dyDescent="0.3">
      <c r="A293" s="5" t="s">
        <v>626</v>
      </c>
      <c r="B293" s="8" t="s">
        <v>89</v>
      </c>
      <c r="C293" s="8" t="s">
        <v>683</v>
      </c>
      <c r="D293" s="8" t="s">
        <v>639</v>
      </c>
      <c r="E293" s="8" t="s">
        <v>640</v>
      </c>
      <c r="F293" s="8" t="s">
        <v>485</v>
      </c>
      <c r="G293" s="8" t="s">
        <v>484</v>
      </c>
      <c r="H293" s="8" t="s">
        <v>145</v>
      </c>
      <c r="I293" s="8" t="s">
        <v>145</v>
      </c>
      <c r="J293" s="8" t="s">
        <v>145</v>
      </c>
      <c r="K293" s="8" t="s">
        <v>145</v>
      </c>
      <c r="L293" s="8" t="s">
        <v>145</v>
      </c>
      <c r="M293" s="8" t="s">
        <v>145</v>
      </c>
      <c r="N293" s="9" t="s">
        <v>485</v>
      </c>
      <c r="O293" s="5" t="str" cm="1">
        <f t="array" ref="O293">_xlfn.XLOOKUP(Tabella2[[#This Row],[Corretta]],Tabella2[[#This Row],[opzione 1]:[opzione 10]],Tabella2[[#This Row],[opzione 1]:[opzione 10]])</f>
        <v>Rilevante</v>
      </c>
    </row>
    <row r="294" spans="1:15" ht="43.2" x14ac:dyDescent="0.3">
      <c r="A294" s="5" t="s">
        <v>626</v>
      </c>
      <c r="B294" s="6" t="s">
        <v>89</v>
      </c>
      <c r="C294" s="6" t="s">
        <v>684</v>
      </c>
      <c r="D294" s="6" t="s">
        <v>642</v>
      </c>
      <c r="E294" s="6" t="s">
        <v>643</v>
      </c>
      <c r="F294" s="6" t="s">
        <v>487</v>
      </c>
      <c r="G294" s="6" t="s">
        <v>486</v>
      </c>
      <c r="H294" s="6" t="s">
        <v>145</v>
      </c>
      <c r="I294" s="6" t="s">
        <v>145</v>
      </c>
      <c r="J294" s="6" t="s">
        <v>145</v>
      </c>
      <c r="K294" s="6" t="s">
        <v>145</v>
      </c>
      <c r="L294" s="6" t="s">
        <v>145</v>
      </c>
      <c r="M294" s="6" t="s">
        <v>145</v>
      </c>
      <c r="N294" s="7" t="s">
        <v>487</v>
      </c>
      <c r="O294" s="5" t="str" cm="1">
        <f t="array" ref="O294">_xlfn.XLOOKUP(Tabella2[[#This Row],[Corretta]],Tabella2[[#This Row],[opzione 1]:[opzione 10]],Tabella2[[#This Row],[opzione 1]:[opzione 10]])</f>
        <v>Sì, le rispetta tutte</v>
      </c>
    </row>
    <row r="295" spans="1:15" ht="28.8" x14ac:dyDescent="0.3">
      <c r="A295" s="5" t="s">
        <v>626</v>
      </c>
      <c r="B295" s="8" t="s">
        <v>89</v>
      </c>
      <c r="C295" s="8" t="s">
        <v>641</v>
      </c>
      <c r="D295" s="8" t="s">
        <v>491</v>
      </c>
      <c r="E295" s="8" t="s">
        <v>644</v>
      </c>
      <c r="F295" s="8" t="s">
        <v>489</v>
      </c>
      <c r="G295" s="8" t="s">
        <v>488</v>
      </c>
      <c r="H295" s="8" t="s">
        <v>145</v>
      </c>
      <c r="I295" s="8" t="s">
        <v>145</v>
      </c>
      <c r="J295" s="8" t="s">
        <v>145</v>
      </c>
      <c r="K295" s="8" t="s">
        <v>145</v>
      </c>
      <c r="L295" s="8" t="s">
        <v>145</v>
      </c>
      <c r="M295" s="8" t="s">
        <v>145</v>
      </c>
      <c r="N295" s="9" t="s">
        <v>489</v>
      </c>
      <c r="O295" s="5" t="str" cm="1">
        <f t="array" ref="O295">_xlfn.XLOOKUP(Tabella2[[#This Row],[Corretta]],Tabella2[[#This Row],[opzione 1]:[opzione 10]],Tabella2[[#This Row],[opzione 1]:[opzione 10]])</f>
        <v>Attuabilità</v>
      </c>
    </row>
    <row r="296" spans="1:15" ht="28.8" x14ac:dyDescent="0.3">
      <c r="A296" s="5" t="s">
        <v>626</v>
      </c>
      <c r="B296" s="6" t="s">
        <v>89</v>
      </c>
      <c r="C296" s="6" t="s">
        <v>685</v>
      </c>
      <c r="D296" s="6" t="s">
        <v>491</v>
      </c>
      <c r="E296" s="6" t="s">
        <v>644</v>
      </c>
      <c r="F296" s="6" t="s">
        <v>488</v>
      </c>
      <c r="G296" s="6" t="s">
        <v>489</v>
      </c>
      <c r="H296" s="6" t="s">
        <v>145</v>
      </c>
      <c r="I296" s="6" t="s">
        <v>145</v>
      </c>
      <c r="J296" s="6" t="s">
        <v>145</v>
      </c>
      <c r="K296" s="6" t="s">
        <v>145</v>
      </c>
      <c r="L296" s="6" t="s">
        <v>145</v>
      </c>
      <c r="M296" s="6" t="s">
        <v>145</v>
      </c>
      <c r="N296" s="7" t="s">
        <v>488</v>
      </c>
      <c r="O296" s="5" t="str" cm="1">
        <f t="array" ref="O296">_xlfn.XLOOKUP(Tabella2[[#This Row],[Corretta]],Tabella2[[#This Row],[opzione 1]:[opzione 10]],Tabella2[[#This Row],[opzione 1]:[opzione 10]])</f>
        <v>Misurabilità</v>
      </c>
    </row>
    <row r="297" spans="1:15" ht="28.8" x14ac:dyDescent="0.3">
      <c r="A297" s="5" t="s">
        <v>626</v>
      </c>
      <c r="B297" s="8" t="s">
        <v>89</v>
      </c>
      <c r="C297" s="8" t="s">
        <v>686</v>
      </c>
      <c r="D297" s="8" t="s">
        <v>644</v>
      </c>
      <c r="E297" s="8" t="s">
        <v>489</v>
      </c>
      <c r="F297" s="8" t="s">
        <v>491</v>
      </c>
      <c r="G297" s="8" t="s">
        <v>490</v>
      </c>
      <c r="H297" s="8" t="s">
        <v>145</v>
      </c>
      <c r="I297" s="8" t="s">
        <v>145</v>
      </c>
      <c r="J297" s="8" t="s">
        <v>145</v>
      </c>
      <c r="K297" s="8" t="s">
        <v>145</v>
      </c>
      <c r="L297" s="8" t="s">
        <v>145</v>
      </c>
      <c r="M297" s="8" t="s">
        <v>145</v>
      </c>
      <c r="N297" s="9" t="s">
        <v>491</v>
      </c>
      <c r="O297" s="5" t="str" cm="1">
        <f t="array" ref="O297">_xlfn.XLOOKUP(Tabella2[[#This Row],[Corretta]],Tabella2[[#This Row],[opzione 1]:[opzione 10]],Tabella2[[#This Row],[opzione 1]:[opzione 10]])</f>
        <v>Rilevanza</v>
      </c>
    </row>
    <row r="298" spans="1:15" ht="43.2" x14ac:dyDescent="0.3">
      <c r="A298" s="5" t="s">
        <v>626</v>
      </c>
      <c r="B298" s="6" t="s">
        <v>147</v>
      </c>
      <c r="C298" s="6" t="s">
        <v>780</v>
      </c>
      <c r="D298" s="6" t="s">
        <v>707</v>
      </c>
      <c r="E298" s="6" t="s">
        <v>708</v>
      </c>
      <c r="F298" s="6" t="s">
        <v>493</v>
      </c>
      <c r="G298" s="6" t="s">
        <v>492</v>
      </c>
      <c r="H298" s="6" t="s">
        <v>145</v>
      </c>
      <c r="I298" s="6" t="s">
        <v>145</v>
      </c>
      <c r="J298" s="6" t="s">
        <v>145</v>
      </c>
      <c r="K298" s="6" t="s">
        <v>145</v>
      </c>
      <c r="L298" s="6" t="s">
        <v>145</v>
      </c>
      <c r="M298" s="6" t="s">
        <v>145</v>
      </c>
      <c r="N298" s="7" t="s">
        <v>493</v>
      </c>
      <c r="O298" s="5" t="str" cm="1">
        <f t="array" ref="O298">_xlfn.XLOOKUP(Tabella2[[#This Row],[Corretta]],Tabella2[[#This Row],[opzione 1]:[opzione 10]],Tabella2[[#This Row],[opzione 1]:[opzione 10]])</f>
        <v>Una visione unificata</v>
      </c>
    </row>
    <row r="299" spans="1:15" ht="129.6" x14ac:dyDescent="0.3">
      <c r="A299" s="5" t="s">
        <v>626</v>
      </c>
      <c r="B299" s="8" t="s">
        <v>147</v>
      </c>
      <c r="C299" s="8" t="s">
        <v>148</v>
      </c>
      <c r="D299" s="8" t="s">
        <v>709</v>
      </c>
      <c r="E299" s="8" t="s">
        <v>495</v>
      </c>
      <c r="F299" s="8" t="s">
        <v>710</v>
      </c>
      <c r="G299" s="8" t="s">
        <v>494</v>
      </c>
      <c r="H299" s="8" t="s">
        <v>145</v>
      </c>
      <c r="I299" s="8" t="s">
        <v>145</v>
      </c>
      <c r="J299" s="8" t="s">
        <v>145</v>
      </c>
      <c r="K299" s="8" t="s">
        <v>145</v>
      </c>
      <c r="L299" s="8" t="s">
        <v>145</v>
      </c>
      <c r="M299" s="8" t="s">
        <v>145</v>
      </c>
      <c r="N299" s="9" t="s">
        <v>495</v>
      </c>
      <c r="O299" s="5" t="str" cm="1">
        <f t="array" ref="O299">_xlfn.XLOOKUP(Tabella2[[#This Row],[Corretta]],Tabella2[[#This Row],[opzione 1]:[opzione 10]],Tabella2[[#This Row],[opzione 1]:[opzione 10]])</f>
        <v>Perché i risultati si disperdono se non sono integrati nella strategia aziendale</v>
      </c>
    </row>
    <row r="300" spans="1:15" ht="172.8" x14ac:dyDescent="0.3">
      <c r="A300" s="5" t="s">
        <v>626</v>
      </c>
      <c r="B300" s="6" t="s">
        <v>147</v>
      </c>
      <c r="C300" s="6" t="s">
        <v>148</v>
      </c>
      <c r="D300" s="6" t="s">
        <v>496</v>
      </c>
      <c r="E300" s="6" t="s">
        <v>711</v>
      </c>
      <c r="F300" s="6" t="s">
        <v>712</v>
      </c>
      <c r="G300" s="6" t="s">
        <v>771</v>
      </c>
      <c r="H300" s="6" t="s">
        <v>145</v>
      </c>
      <c r="I300" s="6" t="s">
        <v>145</v>
      </c>
      <c r="J300" s="6" t="s">
        <v>145</v>
      </c>
      <c r="K300" s="6" t="s">
        <v>145</v>
      </c>
      <c r="L300" s="6" t="s">
        <v>145</v>
      </c>
      <c r="M300" s="6" t="s">
        <v>145</v>
      </c>
      <c r="N300" s="7" t="s">
        <v>496</v>
      </c>
      <c r="O300" s="5" t="str" cm="1">
        <f t="array" ref="O300">_xlfn.XLOOKUP(Tabella2[[#This Row],[Corretta]],Tabella2[[#This Row],[opzione 1]:[opzione 10]],Tabella2[[#This Row],[opzione 1]:[opzione 10]])</f>
        <v>Perché il miglioramento locale può generare risultati in contrasto con gli obiettivi complessivi</v>
      </c>
    </row>
    <row r="301" spans="1:15" ht="129.6" x14ac:dyDescent="0.3">
      <c r="A301" s="5" t="s">
        <v>626</v>
      </c>
      <c r="B301" s="8" t="s">
        <v>147</v>
      </c>
      <c r="C301" s="8" t="s">
        <v>688</v>
      </c>
      <c r="D301" s="8" t="s">
        <v>497</v>
      </c>
      <c r="E301" s="8" t="s">
        <v>498</v>
      </c>
      <c r="F301" s="8" t="s">
        <v>499</v>
      </c>
      <c r="G301" s="8" t="s">
        <v>500</v>
      </c>
      <c r="H301" s="8" t="s">
        <v>145</v>
      </c>
      <c r="I301" s="8" t="s">
        <v>145</v>
      </c>
      <c r="J301" s="8" t="s">
        <v>145</v>
      </c>
      <c r="K301" s="8" t="s">
        <v>145</v>
      </c>
      <c r="L301" s="8" t="s">
        <v>145</v>
      </c>
      <c r="M301" s="8" t="s">
        <v>145</v>
      </c>
      <c r="N301" s="9" t="s">
        <v>499</v>
      </c>
      <c r="O301" s="5" t="str" cm="1">
        <f t="array" ref="O301">_xlfn.XLOOKUP(Tabella2[[#This Row],[Corretta]],Tabella2[[#This Row],[opzione 1]:[opzione 10]],Tabella2[[#This Row],[opzione 1]:[opzione 10]])</f>
        <v>Gli obiettivi locali non sono allineati con gli obiettivi di value stream</v>
      </c>
    </row>
    <row r="302" spans="1:15" ht="129.6" x14ac:dyDescent="0.3">
      <c r="A302" s="5" t="s">
        <v>626</v>
      </c>
      <c r="B302" s="6" t="s">
        <v>147</v>
      </c>
      <c r="C302" s="6" t="s">
        <v>689</v>
      </c>
      <c r="D302" s="6" t="s">
        <v>501</v>
      </c>
      <c r="E302" s="6" t="s">
        <v>502</v>
      </c>
      <c r="F302" s="6" t="s">
        <v>503</v>
      </c>
      <c r="G302" s="6" t="s">
        <v>504</v>
      </c>
      <c r="H302" s="6" t="s">
        <v>145</v>
      </c>
      <c r="I302" s="6" t="s">
        <v>145</v>
      </c>
      <c r="J302" s="6" t="s">
        <v>145</v>
      </c>
      <c r="K302" s="6" t="s">
        <v>145</v>
      </c>
      <c r="L302" s="6" t="s">
        <v>145</v>
      </c>
      <c r="M302" s="6" t="s">
        <v>145</v>
      </c>
      <c r="N302" s="7" t="s">
        <v>503</v>
      </c>
      <c r="O302" s="5" t="str" cm="1">
        <f t="array" ref="O302">_xlfn.XLOOKUP(Tabella2[[#This Row],[Corretta]],Tabella2[[#This Row],[opzione 1]:[opzione 10]],Tabella2[[#This Row],[opzione 1]:[opzione 10]])</f>
        <v>Le aree funzionali non condividono una logica comune e strategica di flusso</v>
      </c>
    </row>
    <row r="303" spans="1:15" ht="158.4" x14ac:dyDescent="0.3">
      <c r="A303" s="5" t="s">
        <v>626</v>
      </c>
      <c r="B303" s="8" t="s">
        <v>147</v>
      </c>
      <c r="C303" s="8" t="s">
        <v>690</v>
      </c>
      <c r="D303" s="8" t="s">
        <v>713</v>
      </c>
      <c r="E303" s="8" t="s">
        <v>506</v>
      </c>
      <c r="F303" s="8" t="s">
        <v>714</v>
      </c>
      <c r="G303" s="8" t="s">
        <v>505</v>
      </c>
      <c r="H303" s="8" t="s">
        <v>145</v>
      </c>
      <c r="I303" s="8" t="s">
        <v>145</v>
      </c>
      <c r="J303" s="8" t="s">
        <v>145</v>
      </c>
      <c r="K303" s="8" t="s">
        <v>145</v>
      </c>
      <c r="L303" s="8" t="s">
        <v>145</v>
      </c>
      <c r="M303" s="8" t="s">
        <v>145</v>
      </c>
      <c r="N303" s="9" t="s">
        <v>506</v>
      </c>
      <c r="O303" s="5" t="str" cm="1">
        <f t="array" ref="O303">_xlfn.XLOOKUP(Tabella2[[#This Row],[Corretta]],Tabella2[[#This Row],[opzione 1]:[opzione 10]],Tabella2[[#This Row],[opzione 1]:[opzione 10]])</f>
        <v>Un esempio di ottimizzazione locale in conflitto con il flusso complessivo</v>
      </c>
    </row>
    <row r="304" spans="1:15" ht="129.6" x14ac:dyDescent="0.3">
      <c r="A304" s="5" t="s">
        <v>626</v>
      </c>
      <c r="B304" s="6" t="s">
        <v>147</v>
      </c>
      <c r="C304" s="6" t="s">
        <v>691</v>
      </c>
      <c r="D304" s="6" t="s">
        <v>715</v>
      </c>
      <c r="E304" s="6" t="s">
        <v>716</v>
      </c>
      <c r="F304" s="6" t="s">
        <v>508</v>
      </c>
      <c r="G304" s="6" t="s">
        <v>507</v>
      </c>
      <c r="H304" s="6" t="s">
        <v>145</v>
      </c>
      <c r="I304" s="6" t="s">
        <v>145</v>
      </c>
      <c r="J304" s="6" t="s">
        <v>145</v>
      </c>
      <c r="K304" s="6" t="s">
        <v>145</v>
      </c>
      <c r="L304" s="6" t="s">
        <v>145</v>
      </c>
      <c r="M304" s="6" t="s">
        <v>145</v>
      </c>
      <c r="N304" s="7" t="s">
        <v>508</v>
      </c>
      <c r="O304" s="5" t="str" cm="1">
        <f t="array" ref="O304">_xlfn.XLOOKUP(Tabella2[[#This Row],[Corretta]],Tabella2[[#This Row],[opzione 1]:[opzione 10]],Tabella2[[#This Row],[opzione 1]:[opzione 10]])</f>
        <v>Il sistema non è strategicamente integrato e le logiche restano in conflitto</v>
      </c>
    </row>
    <row r="305" spans="1:15" ht="129.6" x14ac:dyDescent="0.3">
      <c r="A305" s="5" t="s">
        <v>626</v>
      </c>
      <c r="B305" s="8" t="s">
        <v>147</v>
      </c>
      <c r="C305" s="8" t="s">
        <v>730</v>
      </c>
      <c r="D305" s="8" t="s">
        <v>717</v>
      </c>
      <c r="E305" s="8" t="s">
        <v>718</v>
      </c>
      <c r="F305" s="8" t="s">
        <v>510</v>
      </c>
      <c r="G305" s="8" t="s">
        <v>509</v>
      </c>
      <c r="H305" s="8" t="s">
        <v>145</v>
      </c>
      <c r="I305" s="8" t="s">
        <v>145</v>
      </c>
      <c r="J305" s="8" t="s">
        <v>145</v>
      </c>
      <c r="K305" s="8" t="s">
        <v>145</v>
      </c>
      <c r="L305" s="8" t="s">
        <v>145</v>
      </c>
      <c r="M305" s="8" t="s">
        <v>145</v>
      </c>
      <c r="N305" s="9" t="s">
        <v>510</v>
      </c>
      <c r="O305" s="5" t="str" cm="1">
        <f t="array" ref="O305">_xlfn.XLOOKUP(Tabella2[[#This Row],[Corretta]],Tabella2[[#This Row],[opzione 1]:[opzione 10]],Tabella2[[#This Row],[opzione 1]:[opzione 10]])</f>
        <v>L’obiettivo locale non è coerente con il valore complessivo per il cliente</v>
      </c>
    </row>
    <row r="306" spans="1:15" ht="43.2" x14ac:dyDescent="0.3">
      <c r="A306" s="5" t="s">
        <v>755</v>
      </c>
      <c r="B306" s="6" t="s">
        <v>12</v>
      </c>
      <c r="C306" s="6" t="s">
        <v>13</v>
      </c>
      <c r="D306" s="6" t="s">
        <v>14</v>
      </c>
      <c r="E306" s="6" t="s">
        <v>272</v>
      </c>
      <c r="F306" s="6" t="s">
        <v>15</v>
      </c>
      <c r="G306" s="6" t="s">
        <v>145</v>
      </c>
      <c r="H306" s="6" t="s">
        <v>145</v>
      </c>
      <c r="I306" s="6" t="s">
        <v>145</v>
      </c>
      <c r="J306" s="6" t="s">
        <v>145</v>
      </c>
      <c r="K306" s="6" t="s">
        <v>145</v>
      </c>
      <c r="L306" s="6" t="s">
        <v>145</v>
      </c>
      <c r="M306" s="6" t="s">
        <v>145</v>
      </c>
      <c r="N306" s="7" t="s">
        <v>14</v>
      </c>
      <c r="O306" s="5" t="str" cm="1">
        <f t="array" ref="O306">_xlfn.XLOOKUP(Tabella2[[#This Row],[Corretta]],Tabella2[[#This Row],[opzione 1]:[opzione 10]],Tabella2[[#This Row],[opzione 1]:[opzione 10]])</f>
        <v>Leading by example</v>
      </c>
    </row>
    <row r="307" spans="1:15" ht="115.2" x14ac:dyDescent="0.3">
      <c r="A307" s="5" t="s">
        <v>755</v>
      </c>
      <c r="B307" s="8" t="s">
        <v>12</v>
      </c>
      <c r="C307" s="8" t="s">
        <v>16</v>
      </c>
      <c r="D307" s="8" t="s">
        <v>17</v>
      </c>
      <c r="E307" s="8" t="s">
        <v>273</v>
      </c>
      <c r="F307" s="8" t="s">
        <v>274</v>
      </c>
      <c r="G307" s="8" t="s">
        <v>275</v>
      </c>
      <c r="H307" s="8" t="s">
        <v>145</v>
      </c>
      <c r="I307" s="8" t="s">
        <v>145</v>
      </c>
      <c r="J307" s="8" t="s">
        <v>145</v>
      </c>
      <c r="K307" s="8" t="s">
        <v>145</v>
      </c>
      <c r="L307" s="8" t="s">
        <v>145</v>
      </c>
      <c r="M307" s="8" t="s">
        <v>145</v>
      </c>
      <c r="N307" s="9" t="s">
        <v>17</v>
      </c>
      <c r="O307" s="5" t="str" cm="1">
        <f t="array" ref="O307">_xlfn.XLOOKUP(Tabella2[[#This Row],[Corretta]],Tabella2[[#This Row],[opzione 1]:[opzione 10]],Tabella2[[#This Row],[opzione 1]:[opzione 10]])</f>
        <v>È un sistema, fatto di principi, tecniche e metodi e strumenti</v>
      </c>
    </row>
    <row r="308" spans="1:15" x14ac:dyDescent="0.3">
      <c r="A308" s="5" t="s">
        <v>755</v>
      </c>
      <c r="B308" s="6" t="s">
        <v>12</v>
      </c>
      <c r="C308" s="6" t="s">
        <v>18</v>
      </c>
      <c r="D308" s="6" t="s">
        <v>826</v>
      </c>
      <c r="E308" s="6" t="s">
        <v>828</v>
      </c>
      <c r="F308" s="6" t="s">
        <v>827</v>
      </c>
      <c r="G308" s="6" t="s">
        <v>278</v>
      </c>
      <c r="H308" s="6" t="s">
        <v>145</v>
      </c>
      <c r="I308" s="6" t="s">
        <v>145</v>
      </c>
      <c r="J308" s="6" t="s">
        <v>145</v>
      </c>
      <c r="K308" s="6" t="s">
        <v>145</v>
      </c>
      <c r="L308" s="6" t="s">
        <v>145</v>
      </c>
      <c r="M308" s="6" t="s">
        <v>145</v>
      </c>
      <c r="N308" s="7" t="s">
        <v>826</v>
      </c>
      <c r="O308" s="5" t="str" cm="1">
        <f t="array" ref="O308">_xlfn.XLOOKUP(Tabella2[[#This Row],[Corretta]],Tabella2[[#This Row],[opzione 1]:[opzione 10]],Tabella2[[#This Row],[opzione 1]:[opzione 10]])</f>
        <v>Le 4D</v>
      </c>
    </row>
    <row r="309" spans="1:15" ht="28.8" x14ac:dyDescent="0.3">
      <c r="A309" s="5" t="s">
        <v>755</v>
      </c>
      <c r="B309" s="8" t="s">
        <v>12</v>
      </c>
      <c r="C309" s="8" t="s">
        <v>19</v>
      </c>
      <c r="D309" s="8" t="s">
        <v>20</v>
      </c>
      <c r="E309" s="8" t="s">
        <v>21</v>
      </c>
      <c r="F309" s="8" t="s">
        <v>279</v>
      </c>
      <c r="G309" s="8" t="s">
        <v>280</v>
      </c>
      <c r="H309" s="8" t="s">
        <v>22</v>
      </c>
      <c r="I309" s="8" t="s">
        <v>281</v>
      </c>
      <c r="J309" s="8" t="s">
        <v>23</v>
      </c>
      <c r="K309" s="8" t="s">
        <v>282</v>
      </c>
      <c r="L309" s="8" t="s">
        <v>24</v>
      </c>
      <c r="M309" s="8" t="s">
        <v>25</v>
      </c>
      <c r="N309" s="9" t="s">
        <v>671</v>
      </c>
      <c r="O309" s="5" t="e" cm="1">
        <f t="array" ref="O309">_xlfn.XLOOKUP(Tabella2[[#This Row],[Corretta]],Tabella2[[#This Row],[opzione 1]:[opzione 10]],Tabella2[[#This Row],[opzione 1]:[opzione 10]])</f>
        <v>#N/A</v>
      </c>
    </row>
    <row r="310" spans="1:15" ht="158.4" x14ac:dyDescent="0.3">
      <c r="A310" s="5" t="s">
        <v>755</v>
      </c>
      <c r="B310" s="6" t="s">
        <v>12</v>
      </c>
      <c r="C310" s="6" t="s">
        <v>283</v>
      </c>
      <c r="D310" s="6" t="s">
        <v>26</v>
      </c>
      <c r="E310" s="6" t="s">
        <v>27</v>
      </c>
      <c r="F310" s="6" t="s">
        <v>28</v>
      </c>
      <c r="G310" s="6" t="s">
        <v>145</v>
      </c>
      <c r="H310" s="6" t="s">
        <v>145</v>
      </c>
      <c r="I310" s="6" t="s">
        <v>145</v>
      </c>
      <c r="J310" s="6" t="s">
        <v>145</v>
      </c>
      <c r="K310" s="6" t="s">
        <v>145</v>
      </c>
      <c r="L310" s="6" t="s">
        <v>145</v>
      </c>
      <c r="M310" s="6" t="s">
        <v>145</v>
      </c>
      <c r="N310" s="7" t="s">
        <v>26</v>
      </c>
      <c r="O310" s="5" t="str" cm="1">
        <f t="array" ref="O310">_xlfn.XLOOKUP(Tabella2[[#This Row],[Corretta]],Tabella2[[#This Row],[opzione 1]:[opzione 10]],Tabella2[[#This Row],[opzione 1]:[opzione 10]])</f>
        <v>È la fase di misurazione e analisi dei processi dell’azienda allo stato attuale</v>
      </c>
    </row>
    <row r="311" spans="1:15" ht="86.4" x14ac:dyDescent="0.3">
      <c r="A311" s="5" t="s">
        <v>755</v>
      </c>
      <c r="B311" s="8" t="s">
        <v>12</v>
      </c>
      <c r="C311" s="8" t="s">
        <v>284</v>
      </c>
      <c r="D311" s="8" t="s">
        <v>26</v>
      </c>
      <c r="E311" s="8" t="s">
        <v>27</v>
      </c>
      <c r="F311" s="8" t="s">
        <v>28</v>
      </c>
      <c r="G311" s="8" t="s">
        <v>145</v>
      </c>
      <c r="H311" s="8" t="s">
        <v>145</v>
      </c>
      <c r="I311" s="8" t="s">
        <v>145</v>
      </c>
      <c r="J311" s="8" t="s">
        <v>145</v>
      </c>
      <c r="K311" s="8" t="s">
        <v>145</v>
      </c>
      <c r="L311" s="8" t="s">
        <v>145</v>
      </c>
      <c r="M311" s="8" t="s">
        <v>145</v>
      </c>
      <c r="N311" s="9" t="s">
        <v>27</v>
      </c>
      <c r="O311" s="5" t="str" cm="1">
        <f t="array" ref="O311">_xlfn.XLOOKUP(Tabella2[[#This Row],[Corretta]],Tabella2[[#This Row],[opzione 1]:[opzione 10]],Tabella2[[#This Row],[opzione 1]:[opzione 10]])</f>
        <v>È la fase di riprogettazione dell'azienda</v>
      </c>
    </row>
    <row r="312" spans="1:15" x14ac:dyDescent="0.3">
      <c r="A312" s="5" t="s">
        <v>755</v>
      </c>
      <c r="B312" s="6" t="s">
        <v>12</v>
      </c>
      <c r="C312" s="6" t="s">
        <v>754</v>
      </c>
      <c r="D312" s="6">
        <v>1</v>
      </c>
      <c r="E312" s="6">
        <v>2</v>
      </c>
      <c r="F312" s="6">
        <v>3</v>
      </c>
      <c r="G312" s="6">
        <v>4</v>
      </c>
      <c r="H312" s="6" t="s">
        <v>145</v>
      </c>
      <c r="I312" s="6" t="s">
        <v>145</v>
      </c>
      <c r="J312" s="6" t="s">
        <v>145</v>
      </c>
      <c r="K312" s="6" t="s">
        <v>145</v>
      </c>
      <c r="L312" s="6" t="s">
        <v>145</v>
      </c>
      <c r="M312" s="6" t="s">
        <v>145</v>
      </c>
      <c r="N312" s="7">
        <v>3</v>
      </c>
      <c r="O312" s="5" cm="1">
        <f t="array" ref="O312">_xlfn.XLOOKUP(Tabella2[[#This Row],[Corretta]],Tabella2[[#This Row],[opzione 1]:[opzione 10]],Tabella2[[#This Row],[opzione 1]:[opzione 10]])</f>
        <v>3</v>
      </c>
    </row>
    <row r="313" spans="1:15" x14ac:dyDescent="0.3">
      <c r="A313" s="5" t="s">
        <v>755</v>
      </c>
      <c r="B313" s="8" t="s">
        <v>12</v>
      </c>
      <c r="C313" s="8" t="s">
        <v>753</v>
      </c>
      <c r="D313" s="8" t="s">
        <v>209</v>
      </c>
      <c r="E313" s="8" t="s">
        <v>210</v>
      </c>
      <c r="F313" s="8"/>
      <c r="G313" s="8"/>
      <c r="H313" s="8"/>
      <c r="I313" s="8"/>
      <c r="J313" s="8"/>
      <c r="K313" s="8"/>
      <c r="L313" s="8"/>
      <c r="M313" s="8"/>
      <c r="N313" s="9" t="s">
        <v>209</v>
      </c>
      <c r="O313" s="5" t="str" cm="1">
        <f t="array" ref="O313">_xlfn.XLOOKUP(Tabella2[[#This Row],[Corretta]],Tabella2[[#This Row],[opzione 1]:[opzione 10]],Tabella2[[#This Row],[opzione 1]:[opzione 10]])</f>
        <v>Si</v>
      </c>
    </row>
    <row r="314" spans="1:15" x14ac:dyDescent="0.3">
      <c r="A314" s="5" t="s">
        <v>755</v>
      </c>
      <c r="B314" s="6" t="s">
        <v>12</v>
      </c>
      <c r="C314" s="6" t="s">
        <v>29</v>
      </c>
      <c r="D314" s="6" t="s">
        <v>30</v>
      </c>
      <c r="E314" s="6" t="s">
        <v>31</v>
      </c>
      <c r="F314" s="6" t="s">
        <v>32</v>
      </c>
      <c r="G314" s="6" t="s">
        <v>33</v>
      </c>
      <c r="H314" s="6" t="s">
        <v>145</v>
      </c>
      <c r="I314" s="6" t="s">
        <v>145</v>
      </c>
      <c r="J314" s="6" t="s">
        <v>145</v>
      </c>
      <c r="K314" s="6" t="s">
        <v>145</v>
      </c>
      <c r="L314" s="6" t="s">
        <v>145</v>
      </c>
      <c r="M314" s="6" t="s">
        <v>145</v>
      </c>
      <c r="N314" s="7" t="s">
        <v>34</v>
      </c>
      <c r="O314" s="5" t="e" cm="1">
        <f t="array" ref="O314">_xlfn.XLOOKUP(Tabella2[[#This Row],[Corretta]],Tabella2[[#This Row],[opzione 1]:[opzione 10]],Tabella2[[#This Row],[opzione 1]:[opzione 10]])</f>
        <v>#N/A</v>
      </c>
    </row>
    <row r="315" spans="1:15" ht="100.8" x14ac:dyDescent="0.3">
      <c r="A315" s="5" t="s">
        <v>755</v>
      </c>
      <c r="B315" s="8" t="s">
        <v>35</v>
      </c>
      <c r="C315" s="8" t="s">
        <v>36</v>
      </c>
      <c r="D315" s="8" t="s">
        <v>285</v>
      </c>
      <c r="E315" s="8" t="s">
        <v>286</v>
      </c>
      <c r="F315" s="8" t="s">
        <v>287</v>
      </c>
      <c r="G315" s="8" t="s">
        <v>288</v>
      </c>
      <c r="H315" s="8" t="s">
        <v>145</v>
      </c>
      <c r="I315" s="8" t="s">
        <v>145</v>
      </c>
      <c r="J315" s="8" t="s">
        <v>145</v>
      </c>
      <c r="K315" s="8" t="s">
        <v>145</v>
      </c>
      <c r="L315" s="8" t="s">
        <v>145</v>
      </c>
      <c r="M315" s="8" t="s">
        <v>145</v>
      </c>
      <c r="N315" s="8" t="s">
        <v>285</v>
      </c>
      <c r="O315" s="5" t="str" cm="1">
        <f t="array" ref="O315">_xlfn.XLOOKUP(Tabella2[[#This Row],[Corretta]],Tabella2[[#This Row],[opzione 1]:[opzione 10]],Tabella2[[#This Row],[opzione 1]:[opzione 10]])</f>
        <v>È tutto quello per il quale il cliente sarebbe disposto a pagare</v>
      </c>
    </row>
    <row r="316" spans="1:15" x14ac:dyDescent="0.3">
      <c r="A316" s="5" t="s">
        <v>755</v>
      </c>
      <c r="B316" s="6" t="s">
        <v>35</v>
      </c>
      <c r="C316" s="6" t="s">
        <v>37</v>
      </c>
      <c r="D316" s="6" t="s">
        <v>38</v>
      </c>
      <c r="E316" s="6" t="s">
        <v>39</v>
      </c>
      <c r="F316" s="6" t="s">
        <v>40</v>
      </c>
      <c r="G316" s="6" t="s">
        <v>41</v>
      </c>
      <c r="H316" s="6" t="s">
        <v>42</v>
      </c>
      <c r="I316" s="6" t="s">
        <v>145</v>
      </c>
      <c r="J316" s="6" t="s">
        <v>145</v>
      </c>
      <c r="K316" s="6" t="s">
        <v>145</v>
      </c>
      <c r="L316" s="6" t="s">
        <v>145</v>
      </c>
      <c r="M316" s="6" t="s">
        <v>145</v>
      </c>
      <c r="N316" s="7" t="s">
        <v>757</v>
      </c>
      <c r="O316" s="5" t="e" cm="1">
        <f t="array" ref="O316">_xlfn.XLOOKUP(Tabella2[[#This Row],[Corretta]],Tabella2[[#This Row],[opzione 1]:[opzione 10]],Tabella2[[#This Row],[opzione 1]:[opzione 10]])</f>
        <v>#N/A</v>
      </c>
    </row>
    <row r="317" spans="1:15" ht="158.4" x14ac:dyDescent="0.3">
      <c r="A317" s="5" t="s">
        <v>755</v>
      </c>
      <c r="B317" s="8" t="s">
        <v>44</v>
      </c>
      <c r="C317" s="8" t="s">
        <v>45</v>
      </c>
      <c r="D317" s="8" t="s">
        <v>434</v>
      </c>
      <c r="E317" s="8" t="s">
        <v>289</v>
      </c>
      <c r="F317" s="8" t="s">
        <v>290</v>
      </c>
      <c r="G317" s="8" t="s">
        <v>291</v>
      </c>
      <c r="H317" s="8" t="s">
        <v>145</v>
      </c>
      <c r="I317" s="8" t="s">
        <v>145</v>
      </c>
      <c r="J317" s="8" t="s">
        <v>145</v>
      </c>
      <c r="K317" s="8" t="s">
        <v>145</v>
      </c>
      <c r="L317" s="8" t="s">
        <v>145</v>
      </c>
      <c r="M317" s="8" t="s">
        <v>145</v>
      </c>
      <c r="N317" s="9" t="s">
        <v>434</v>
      </c>
      <c r="O317" s="5" t="str" cm="1">
        <f t="array" ref="O317">_xlfn.XLOOKUP(Tabella2[[#This Row],[Corretta]],Tabella2[[#This Row],[opzione 1]:[opzione 10]],Tabella2[[#This Row],[opzione 1]:[opzione 10]])</f>
        <v>Un insieme di operazioni o fasi che trasforma un insieme di input in un output</v>
      </c>
    </row>
    <row r="318" spans="1:15" ht="259.2" x14ac:dyDescent="0.3">
      <c r="A318" s="5" t="s">
        <v>755</v>
      </c>
      <c r="B318" s="6" t="s">
        <v>44</v>
      </c>
      <c r="C318" s="6" t="s">
        <v>46</v>
      </c>
      <c r="D318" s="6" t="s">
        <v>435</v>
      </c>
      <c r="E318" s="6" t="s">
        <v>47</v>
      </c>
      <c r="F318" s="6" t="s">
        <v>48</v>
      </c>
      <c r="G318" s="6" t="s">
        <v>292</v>
      </c>
      <c r="H318" s="6" t="s">
        <v>145</v>
      </c>
      <c r="I318" s="6" t="s">
        <v>145</v>
      </c>
      <c r="J318" s="6" t="s">
        <v>145</v>
      </c>
      <c r="K318" s="6" t="s">
        <v>145</v>
      </c>
      <c r="L318" s="6" t="s">
        <v>145</v>
      </c>
      <c r="M318" s="6" t="s">
        <v>145</v>
      </c>
      <c r="N318" s="7" t="s">
        <v>48</v>
      </c>
      <c r="O318" s="5" t="str" cm="1">
        <f t="array" ref="O318">_xlfn.XLOOKUP(Tabella2[[#This Row],[Corretta]],Tabella2[[#This Row],[opzione 1]:[opzione 10]],Tabella2[[#This Row],[opzione 1]:[opzione 10]])</f>
        <v>Unità elementare di lavoro che fa variare lo stato o la posizione nello spazio di un oggetto materiale, immateriale o di una persona</v>
      </c>
    </row>
    <row r="319" spans="1:15" ht="86.4" x14ac:dyDescent="0.3">
      <c r="A319" s="5" t="s">
        <v>755</v>
      </c>
      <c r="B319" s="8" t="s">
        <v>44</v>
      </c>
      <c r="C319" s="8" t="s">
        <v>733</v>
      </c>
      <c r="D319" s="8" t="s">
        <v>49</v>
      </c>
      <c r="E319" s="8" t="s">
        <v>50</v>
      </c>
      <c r="F319" s="8" t="s">
        <v>51</v>
      </c>
      <c r="G319" s="8" t="s">
        <v>52</v>
      </c>
      <c r="H319" s="8" t="s">
        <v>145</v>
      </c>
      <c r="I319" s="8" t="s">
        <v>145</v>
      </c>
      <c r="J319" s="8" t="s">
        <v>145</v>
      </c>
      <c r="K319" s="8" t="s">
        <v>145</v>
      </c>
      <c r="L319" s="8" t="s">
        <v>145</v>
      </c>
      <c r="M319" s="8" t="s">
        <v>145</v>
      </c>
      <c r="N319" s="9" t="s">
        <v>50</v>
      </c>
      <c r="O319" s="5" t="str" cm="1">
        <f t="array" ref="O319">_xlfn.XLOOKUP(Tabella2[[#This Row],[Corretta]],Tabella2[[#This Row],[opzione 1]:[opzione 10]],Tabella2[[#This Row],[opzione 1]:[opzione 10]])</f>
        <v>Flusso informativo, flusso operativo, workflow</v>
      </c>
    </row>
    <row r="320" spans="1:15" ht="216" x14ac:dyDescent="0.3">
      <c r="A320" s="5" t="s">
        <v>755</v>
      </c>
      <c r="B320" s="6" t="s">
        <v>44</v>
      </c>
      <c r="C320" s="6" t="s">
        <v>293</v>
      </c>
      <c r="D320" s="6" t="s">
        <v>294</v>
      </c>
      <c r="E320" s="6" t="s">
        <v>295</v>
      </c>
      <c r="F320" s="6" t="s">
        <v>296</v>
      </c>
      <c r="G320" s="6" t="s">
        <v>297</v>
      </c>
      <c r="H320" s="6" t="s">
        <v>145</v>
      </c>
      <c r="I320" s="6" t="s">
        <v>145</v>
      </c>
      <c r="J320" s="6" t="s">
        <v>145</v>
      </c>
      <c r="K320" s="6" t="s">
        <v>145</v>
      </c>
      <c r="L320" s="6" t="s">
        <v>145</v>
      </c>
      <c r="M320" s="6" t="s">
        <v>145</v>
      </c>
      <c r="N320" s="7" t="s">
        <v>297</v>
      </c>
      <c r="O320" s="5" t="str" cm="1">
        <f t="array" ref="O320">_xlfn.XLOOKUP(Tabella2[[#This Row],[Corretta]],Tabella2[[#This Row],[opzione 1]:[opzione 10]],Tabella2[[#This Row],[opzione 1]:[opzione 10]])</f>
        <v>Jiidoka è la capacità di macchine e uomini di arrestarsi immediatamente all’insorgenza di un’anomalia nel processo</v>
      </c>
    </row>
    <row r="321" spans="1:15" ht="144" x14ac:dyDescent="0.3">
      <c r="A321" s="5" t="s">
        <v>755</v>
      </c>
      <c r="B321" s="8" t="s">
        <v>53</v>
      </c>
      <c r="C321" s="8" t="s">
        <v>54</v>
      </c>
      <c r="D321" s="8" t="s">
        <v>55</v>
      </c>
      <c r="E321" s="8" t="s">
        <v>56</v>
      </c>
      <c r="F321" s="8" t="s">
        <v>57</v>
      </c>
      <c r="G321" s="8" t="s">
        <v>58</v>
      </c>
      <c r="H321" s="8" t="s">
        <v>145</v>
      </c>
      <c r="I321" s="8" t="s">
        <v>145</v>
      </c>
      <c r="J321" s="8" t="s">
        <v>145</v>
      </c>
      <c r="K321" s="8" t="s">
        <v>145</v>
      </c>
      <c r="L321" s="8" t="s">
        <v>145</v>
      </c>
      <c r="M321" s="8" t="s">
        <v>145</v>
      </c>
      <c r="N321" s="9" t="s">
        <v>56</v>
      </c>
      <c r="O321" s="5" t="str" cm="1">
        <f t="array" ref="O321">_xlfn.XLOOKUP(Tabella2[[#This Row],[Corretta]],Tabella2[[#This Row],[opzione 1]:[opzione 10]],Tabella2[[#This Row],[opzione 1]:[opzione 10]])</f>
        <v>Sovrapproduzione, attese, trasporti, processi non corretti, scorte, movimenti, difetti</v>
      </c>
    </row>
    <row r="322" spans="1:15" ht="100.8" x14ac:dyDescent="0.3">
      <c r="A322" s="5" t="s">
        <v>755</v>
      </c>
      <c r="B322" s="6" t="s">
        <v>53</v>
      </c>
      <c r="C322" s="6" t="s">
        <v>59</v>
      </c>
      <c r="D322" s="6" t="s">
        <v>60</v>
      </c>
      <c r="E322" s="6" t="s">
        <v>61</v>
      </c>
      <c r="F322" s="6" t="s">
        <v>62</v>
      </c>
      <c r="G322" s="6" t="s">
        <v>63</v>
      </c>
      <c r="H322" s="6" t="s">
        <v>145</v>
      </c>
      <c r="I322" s="6" t="s">
        <v>145</v>
      </c>
      <c r="J322" s="6" t="s">
        <v>145</v>
      </c>
      <c r="K322" s="6" t="s">
        <v>145</v>
      </c>
      <c r="L322" s="6" t="s">
        <v>145</v>
      </c>
      <c r="M322" s="6" t="s">
        <v>145</v>
      </c>
      <c r="N322" s="7" t="s">
        <v>60</v>
      </c>
      <c r="O322" s="5" t="str" cm="1">
        <f t="array" ref="O322">_xlfn.XLOOKUP(Tabella2[[#This Row],[Corretta]],Tabella2[[#This Row],[opzione 1]:[opzione 10]],Tabella2[[#This Row],[opzione 1]:[opzione 10]])</f>
        <v>Perché può generare a cascata tutti gli altri muda</v>
      </c>
    </row>
    <row r="323" spans="1:15" ht="28.8" x14ac:dyDescent="0.3">
      <c r="A323" s="5" t="s">
        <v>755</v>
      </c>
      <c r="B323" s="8" t="s">
        <v>53</v>
      </c>
      <c r="C323" s="8" t="s">
        <v>825</v>
      </c>
      <c r="D323" s="8" t="s">
        <v>299</v>
      </c>
      <c r="E323" s="8" t="s">
        <v>300</v>
      </c>
      <c r="F323" s="8" t="s">
        <v>301</v>
      </c>
      <c r="G323" s="8" t="s">
        <v>145</v>
      </c>
      <c r="H323" s="8" t="s">
        <v>145</v>
      </c>
      <c r="I323" s="8" t="s">
        <v>145</v>
      </c>
      <c r="J323" s="8" t="s">
        <v>145</v>
      </c>
      <c r="K323" s="8" t="s">
        <v>145</v>
      </c>
      <c r="L323" s="8" t="s">
        <v>145</v>
      </c>
      <c r="M323" s="8" t="s">
        <v>145</v>
      </c>
      <c r="N323" s="9" t="s">
        <v>300</v>
      </c>
      <c r="O323" s="5" t="str" cm="1">
        <f t="array" ref="O323">_xlfn.XLOOKUP(Tabella2[[#This Row],[Corretta]],Tabella2[[#This Row],[opzione 1]:[opzione 10]],Tabella2[[#This Row],[opzione 1]:[opzione 10]])</f>
        <v>Nva-2</v>
      </c>
    </row>
    <row r="324" spans="1:15" ht="115.2" x14ac:dyDescent="0.3">
      <c r="A324" s="5" t="s">
        <v>755</v>
      </c>
      <c r="B324" s="6" t="s">
        <v>53</v>
      </c>
      <c r="C324" s="6" t="s">
        <v>782</v>
      </c>
      <c r="D324" s="6" t="s">
        <v>303</v>
      </c>
      <c r="E324" s="6" t="s">
        <v>304</v>
      </c>
      <c r="F324" s="6" t="s">
        <v>305</v>
      </c>
      <c r="G324" s="6" t="s">
        <v>306</v>
      </c>
      <c r="H324" s="6" t="s">
        <v>145</v>
      </c>
      <c r="I324" s="6" t="s">
        <v>145</v>
      </c>
      <c r="J324" s="6" t="s">
        <v>145</v>
      </c>
      <c r="K324" s="6" t="s">
        <v>145</v>
      </c>
      <c r="L324" s="6" t="s">
        <v>145</v>
      </c>
      <c r="M324" s="6" t="s">
        <v>145</v>
      </c>
      <c r="N324" s="7" t="s">
        <v>304</v>
      </c>
      <c r="O324" s="5" t="str" cm="1">
        <f t="array" ref="O324">_xlfn.XLOOKUP(Tabella2[[#This Row],[Corretta]],Tabella2[[#This Row],[opzione 1]:[opzione 10]],Tabella2[[#This Row],[opzione 1]:[opzione 10]])</f>
        <v>Men, materials, methods, machines, environment</v>
      </c>
    </row>
    <row r="325" spans="1:15" ht="43.2" x14ac:dyDescent="0.3">
      <c r="A325" s="5" t="s">
        <v>755</v>
      </c>
      <c r="B325" s="8" t="s">
        <v>64</v>
      </c>
      <c r="C325" s="8" t="s">
        <v>65</v>
      </c>
      <c r="D325" s="8" t="s">
        <v>66</v>
      </c>
      <c r="E325" s="8" t="s">
        <v>67</v>
      </c>
      <c r="F325" s="8" t="s">
        <v>68</v>
      </c>
      <c r="G325" s="8" t="s">
        <v>69</v>
      </c>
      <c r="H325" s="8" t="s">
        <v>145</v>
      </c>
      <c r="I325" s="8" t="s">
        <v>145</v>
      </c>
      <c r="J325" s="8" t="s">
        <v>145</v>
      </c>
      <c r="K325" s="8" t="s">
        <v>145</v>
      </c>
      <c r="L325" s="8" t="s">
        <v>145</v>
      </c>
      <c r="M325" s="8" t="s">
        <v>145</v>
      </c>
      <c r="N325" s="9" t="s">
        <v>66</v>
      </c>
      <c r="O325" s="5" t="str" cm="1">
        <f t="array" ref="O325">_xlfn.XLOOKUP(Tabella2[[#This Row],[Corretta]],Tabella2[[#This Row],[opzione 1]:[opzione 10]],Tabella2[[#This Row],[opzione 1]:[opzione 10]])</f>
        <v>Qualità, costi e tempi</v>
      </c>
    </row>
    <row r="326" spans="1:15" ht="259.2" x14ac:dyDescent="0.3">
      <c r="A326" s="5" t="s">
        <v>755</v>
      </c>
      <c r="B326" s="6" t="s">
        <v>64</v>
      </c>
      <c r="C326" s="6" t="s">
        <v>308</v>
      </c>
      <c r="D326" s="6" t="s">
        <v>70</v>
      </c>
      <c r="E326" s="6" t="s">
        <v>71</v>
      </c>
      <c r="F326" s="6" t="s">
        <v>72</v>
      </c>
      <c r="G326" s="6" t="s">
        <v>73</v>
      </c>
      <c r="H326" s="6" t="s">
        <v>145</v>
      </c>
      <c r="I326" s="6" t="s">
        <v>145</v>
      </c>
      <c r="J326" s="6" t="s">
        <v>145</v>
      </c>
      <c r="K326" s="6" t="s">
        <v>145</v>
      </c>
      <c r="L326" s="6" t="s">
        <v>145</v>
      </c>
      <c r="M326" s="6" t="s">
        <v>145</v>
      </c>
      <c r="N326" s="7" t="s">
        <v>72</v>
      </c>
      <c r="O326" s="5" t="str" cm="1">
        <f t="array" ref="O326">_xlfn.XLOOKUP(Tabella2[[#This Row],[Corretta]],Tabella2[[#This Row],[opzione 1]:[opzione 10]],Tabella2[[#This Row],[opzione 1]:[opzione 10]])</f>
        <v>Tempo effettivo impiegato da una singola risorsa trasformante per processare interamente un'unità di prodotto, senza interruzioni</v>
      </c>
    </row>
    <row r="327" spans="1:15" ht="72" x14ac:dyDescent="0.3">
      <c r="A327" s="5" t="s">
        <v>755</v>
      </c>
      <c r="B327" s="8" t="s">
        <v>64</v>
      </c>
      <c r="C327" s="8" t="s">
        <v>571</v>
      </c>
      <c r="D327" s="8" t="s">
        <v>74</v>
      </c>
      <c r="E327" s="8" t="s">
        <v>75</v>
      </c>
      <c r="F327" s="8" t="s">
        <v>309</v>
      </c>
      <c r="G327" s="8" t="s">
        <v>570</v>
      </c>
      <c r="H327" s="8" t="s">
        <v>145</v>
      </c>
      <c r="I327" s="8" t="s">
        <v>145</v>
      </c>
      <c r="J327" s="8" t="s">
        <v>145</v>
      </c>
      <c r="K327" s="8" t="s">
        <v>145</v>
      </c>
      <c r="L327" s="8" t="s">
        <v>145</v>
      </c>
      <c r="M327" s="8" t="s">
        <v>145</v>
      </c>
      <c r="N327" s="9" t="s">
        <v>74</v>
      </c>
      <c r="O327" s="5" t="str" cm="1">
        <f t="array" ref="O327">_xlfn.XLOOKUP(Tabella2[[#This Row],[Corretta]],Tabella2[[#This Row],[opzione 1]:[opzione 10]],Tabella2[[#This Row],[opzione 1]:[opzione 10]])</f>
        <v>Rappresenta il ritmo della domanda</v>
      </c>
    </row>
    <row r="328" spans="1:15" ht="43.2" x14ac:dyDescent="0.3">
      <c r="A328" s="5" t="s">
        <v>755</v>
      </c>
      <c r="B328" s="6" t="s">
        <v>64</v>
      </c>
      <c r="C328" s="6" t="s">
        <v>572</v>
      </c>
      <c r="D328" s="6" t="s">
        <v>76</v>
      </c>
      <c r="E328" s="6" t="s">
        <v>574</v>
      </c>
      <c r="F328" s="6" t="s">
        <v>573</v>
      </c>
      <c r="G328" s="6" t="s">
        <v>77</v>
      </c>
      <c r="H328" s="6" t="s">
        <v>145</v>
      </c>
      <c r="I328" s="6" t="s">
        <v>145</v>
      </c>
      <c r="J328" s="6" t="s">
        <v>145</v>
      </c>
      <c r="K328" s="6" t="s">
        <v>145</v>
      </c>
      <c r="L328" s="6" t="s">
        <v>145</v>
      </c>
      <c r="M328" s="6" t="s">
        <v>145</v>
      </c>
      <c r="N328" s="7" t="s">
        <v>77</v>
      </c>
      <c r="O328" s="5" t="str" cm="1">
        <f t="array" ref="O328">_xlfn.XLOOKUP(Tabella2[[#This Row],[Corretta]],Tabella2[[#This Row],[opzione 1]:[opzione 10]],Tabella2[[#This Row],[opzione 1]:[opzione 10]])</f>
        <v>252 s</v>
      </c>
    </row>
    <row r="329" spans="1:15" ht="288" x14ac:dyDescent="0.3">
      <c r="A329" s="5" t="s">
        <v>755</v>
      </c>
      <c r="B329" s="8" t="s">
        <v>64</v>
      </c>
      <c r="C329" s="8" t="s">
        <v>310</v>
      </c>
      <c r="D329" s="8" t="s">
        <v>74</v>
      </c>
      <c r="E329" s="8" t="s">
        <v>75</v>
      </c>
      <c r="F329" s="8" t="s">
        <v>78</v>
      </c>
      <c r="G329" s="8" t="s">
        <v>570</v>
      </c>
      <c r="H329" s="8" t="s">
        <v>145</v>
      </c>
      <c r="I329" s="8" t="s">
        <v>145</v>
      </c>
      <c r="J329" s="8" t="s">
        <v>145</v>
      </c>
      <c r="K329" s="8" t="s">
        <v>145</v>
      </c>
      <c r="L329" s="8" t="s">
        <v>145</v>
      </c>
      <c r="M329" s="8" t="s">
        <v>145</v>
      </c>
      <c r="N329" s="9" t="s">
        <v>78</v>
      </c>
      <c r="O329" s="5" t="str" cm="1">
        <f t="array" ref="O329">_xlfn.XLOOKUP(Tabella2[[#This Row],[Corretta]],Tabella2[[#This Row],[opzione 1]:[opzione 10]],Tabella2[[#This Row],[opzione 1]:[opzione 10]])</f>
        <v>Rappresenta il ritmo della produzione, ed indica quanto tempo passa, in media, tra l'uscita di due pezzi consecutivi dal processo (o dall'operazione)</v>
      </c>
    </row>
    <row r="330" spans="1:15" ht="100.8" x14ac:dyDescent="0.3">
      <c r="A330" s="5" t="s">
        <v>755</v>
      </c>
      <c r="B330" s="6" t="s">
        <v>64</v>
      </c>
      <c r="C330" s="6" t="s">
        <v>311</v>
      </c>
      <c r="D330" s="6" t="s">
        <v>79</v>
      </c>
      <c r="E330" s="6" t="s">
        <v>80</v>
      </c>
      <c r="F330" s="6" t="s">
        <v>802</v>
      </c>
      <c r="G330" s="6" t="s">
        <v>81</v>
      </c>
      <c r="H330" s="6" t="s">
        <v>145</v>
      </c>
      <c r="I330" s="6" t="s">
        <v>145</v>
      </c>
      <c r="J330" s="6" t="s">
        <v>145</v>
      </c>
      <c r="K330" s="6" t="s">
        <v>145</v>
      </c>
      <c r="L330" s="6" t="s">
        <v>145</v>
      </c>
      <c r="M330" s="6" t="s">
        <v>145</v>
      </c>
      <c r="N330" s="7" t="s">
        <v>81</v>
      </c>
      <c r="O330" s="5" t="str" cm="1">
        <f t="array" ref="O330">_xlfn.XLOOKUP(Tabella2[[#This Row],[Corretta]],Tabella2[[#This Row],[opzione 1]:[opzione 10]],Tabella2[[#This Row],[opzione 1]:[opzione 10]])</f>
        <v>Il numero di risorse è determinato sulla base del takt time</v>
      </c>
    </row>
    <row r="331" spans="1:15" ht="57.6" x14ac:dyDescent="0.3">
      <c r="A331" s="5" t="s">
        <v>755</v>
      </c>
      <c r="B331" s="8" t="s">
        <v>64</v>
      </c>
      <c r="C331" s="8" t="s">
        <v>82</v>
      </c>
      <c r="D331" s="8" t="s">
        <v>800</v>
      </c>
      <c r="E331" s="8" t="s">
        <v>83</v>
      </c>
      <c r="F331" s="8" t="s">
        <v>314</v>
      </c>
      <c r="G331" s="8" t="s">
        <v>315</v>
      </c>
      <c r="H331" s="8" t="s">
        <v>145</v>
      </c>
      <c r="I331" s="8" t="s">
        <v>145</v>
      </c>
      <c r="J331" s="8" t="s">
        <v>145</v>
      </c>
      <c r="K331" s="8" t="s">
        <v>145</v>
      </c>
      <c r="L331" s="8" t="s">
        <v>145</v>
      </c>
      <c r="M331" s="8" t="s">
        <v>145</v>
      </c>
      <c r="N331" s="9" t="s">
        <v>800</v>
      </c>
      <c r="O331" s="5" t="str" cm="1">
        <f t="array" ref="O331">_xlfn.XLOOKUP(Tabella2[[#This Row],[Corretta]],Tabella2[[#This Row],[opzione 1]:[opzione 10]],Tabella2[[#This Row],[opzione 1]:[opzione 10]])</f>
        <v>Demand time e LT di risposta</v>
      </c>
    </row>
    <row r="332" spans="1:15" ht="115.2" x14ac:dyDescent="0.3">
      <c r="A332" s="5" t="s">
        <v>755</v>
      </c>
      <c r="B332" s="6" t="s">
        <v>64</v>
      </c>
      <c r="C332" s="6" t="s">
        <v>84</v>
      </c>
      <c r="D332" s="6" t="s">
        <v>85</v>
      </c>
      <c r="E332" s="6" t="s">
        <v>86</v>
      </c>
      <c r="F332" s="6" t="s">
        <v>87</v>
      </c>
      <c r="G332" s="6" t="s">
        <v>88</v>
      </c>
      <c r="H332" s="6" t="s">
        <v>145</v>
      </c>
      <c r="I332" s="6" t="s">
        <v>145</v>
      </c>
      <c r="J332" s="6" t="s">
        <v>145</v>
      </c>
      <c r="K332" s="6" t="s">
        <v>145</v>
      </c>
      <c r="L332" s="6" t="s">
        <v>145</v>
      </c>
      <c r="M332" s="6" t="s">
        <v>145</v>
      </c>
      <c r="N332" s="7" t="s">
        <v>85</v>
      </c>
      <c r="O332" s="5" t="str" cm="1">
        <f t="array" ref="O332">_xlfn.XLOOKUP(Tabella2[[#This Row],[Corretta]],Tabella2[[#This Row],[opzione 1]:[opzione 10]],Tabella2[[#This Row],[opzione 1]:[opzione 10]])</f>
        <v>È uno strumento per il controllo del flusso pull disaccoppiato</v>
      </c>
    </row>
    <row r="333" spans="1:15" ht="129.6" x14ac:dyDescent="0.3">
      <c r="A333" s="5" t="s">
        <v>755</v>
      </c>
      <c r="B333" s="8" t="s">
        <v>89</v>
      </c>
      <c r="C333" s="8" t="s">
        <v>90</v>
      </c>
      <c r="D333" s="8" t="s">
        <v>316</v>
      </c>
      <c r="E333" s="8" t="s">
        <v>91</v>
      </c>
      <c r="F333" s="8" t="s">
        <v>92</v>
      </c>
      <c r="G333" s="8" t="s">
        <v>93</v>
      </c>
      <c r="H333" s="8" t="s">
        <v>145</v>
      </c>
      <c r="I333" s="8" t="s">
        <v>145</v>
      </c>
      <c r="J333" s="8" t="s">
        <v>145</v>
      </c>
      <c r="K333" s="8" t="s">
        <v>145</v>
      </c>
      <c r="L333" s="8" t="s">
        <v>145</v>
      </c>
      <c r="M333" s="8" t="s">
        <v>145</v>
      </c>
      <c r="N333" s="9" t="s">
        <v>316</v>
      </c>
      <c r="O333" s="5" t="str" cm="1">
        <f t="array" ref="O333">_xlfn.XLOOKUP(Tabella2[[#This Row],[Corretta]],Tabella2[[#This Row],[opzione 1]:[opzione 10]],Tabella2[[#This Row],[opzione 1]:[opzione 10]])</f>
        <v>Specifico, misurabile, adottabile, rilevante, temporale</v>
      </c>
    </row>
    <row r="334" spans="1:15" ht="100.8" x14ac:dyDescent="0.3">
      <c r="A334" s="5" t="s">
        <v>755</v>
      </c>
      <c r="B334" s="6" t="s">
        <v>94</v>
      </c>
      <c r="C334" s="6" t="s">
        <v>271</v>
      </c>
      <c r="D334" s="6" t="s">
        <v>317</v>
      </c>
      <c r="E334" s="6" t="s">
        <v>318</v>
      </c>
      <c r="F334" s="6" t="s">
        <v>319</v>
      </c>
      <c r="G334" s="6" t="s">
        <v>320</v>
      </c>
      <c r="H334" s="6" t="s">
        <v>145</v>
      </c>
      <c r="I334" s="6" t="s">
        <v>145</v>
      </c>
      <c r="J334" s="6" t="s">
        <v>145</v>
      </c>
      <c r="K334" s="6" t="s">
        <v>145</v>
      </c>
      <c r="L334" s="6" t="s">
        <v>145</v>
      </c>
      <c r="M334" s="6" t="s">
        <v>145</v>
      </c>
      <c r="N334" s="7" t="s">
        <v>319</v>
      </c>
      <c r="O334" s="5" t="str" cm="1">
        <f t="array" ref="O334">_xlfn.XLOOKUP(Tabella2[[#This Row],[Corretta]],Tabella2[[#This Row],[opzione 1]:[opzione 10]],Tabella2[[#This Row],[opzione 1]:[opzione 10]])</f>
        <v>Cercare di trasformare i resistenti in innovatori</v>
      </c>
    </row>
    <row r="335" spans="1:15" ht="72" x14ac:dyDescent="0.3">
      <c r="A335" s="5" t="s">
        <v>755</v>
      </c>
      <c r="B335" s="8" t="s">
        <v>94</v>
      </c>
      <c r="C335" s="8" t="s">
        <v>95</v>
      </c>
      <c r="D335" s="9" t="s">
        <v>766</v>
      </c>
      <c r="E335" s="8" t="s">
        <v>97</v>
      </c>
      <c r="F335" s="8" t="s">
        <v>96</v>
      </c>
      <c r="G335" s="8" t="s">
        <v>98</v>
      </c>
      <c r="H335" s="8" t="s">
        <v>145</v>
      </c>
      <c r="I335" s="8" t="s">
        <v>145</v>
      </c>
      <c r="J335" s="8" t="s">
        <v>145</v>
      </c>
      <c r="K335" s="8" t="s">
        <v>145</v>
      </c>
      <c r="L335" s="8" t="s">
        <v>145</v>
      </c>
      <c r="M335" s="8" t="s">
        <v>145</v>
      </c>
      <c r="N335" s="9" t="s">
        <v>766</v>
      </c>
      <c r="O335" s="5" t="str" cm="1">
        <f t="array" ref="O335">_xlfn.XLOOKUP(Tabella2[[#This Row],[Corretta]],Tabella2[[#This Row],[opzione 1]:[opzione 10]],Tabella2[[#This Row],[opzione 1]:[opzione 10]])</f>
        <v>Oppositori, resistenti, innovatori</v>
      </c>
    </row>
    <row r="336" spans="1:15" x14ac:dyDescent="0.3">
      <c r="A336" s="5" t="s">
        <v>755</v>
      </c>
      <c r="B336" s="6" t="s">
        <v>35</v>
      </c>
      <c r="C336" s="6" t="s">
        <v>336</v>
      </c>
      <c r="D336" s="6" t="s">
        <v>337</v>
      </c>
      <c r="E336" s="6" t="s">
        <v>338</v>
      </c>
      <c r="F336" s="6" t="s">
        <v>339</v>
      </c>
      <c r="G336" s="6" t="s">
        <v>145</v>
      </c>
      <c r="H336" s="6" t="s">
        <v>145</v>
      </c>
      <c r="I336" s="6" t="s">
        <v>145</v>
      </c>
      <c r="J336" s="6" t="s">
        <v>145</v>
      </c>
      <c r="K336" s="6" t="s">
        <v>145</v>
      </c>
      <c r="L336" s="6" t="s">
        <v>145</v>
      </c>
      <c r="M336" s="6" t="s">
        <v>145</v>
      </c>
      <c r="N336" s="7" t="s">
        <v>338</v>
      </c>
      <c r="O336" s="5" t="str" cm="1">
        <f t="array" ref="O336">_xlfn.XLOOKUP(Tabella2[[#This Row],[Corretta]],Tabella2[[#This Row],[opzione 1]:[opzione 10]],Tabella2[[#This Row],[opzione 1]:[opzione 10]])</f>
        <v>Costo</v>
      </c>
    </row>
    <row r="337" spans="1:15" ht="316.8" x14ac:dyDescent="0.3">
      <c r="A337" s="5" t="s">
        <v>755</v>
      </c>
      <c r="B337" s="8" t="s">
        <v>35</v>
      </c>
      <c r="C337" s="8" t="s">
        <v>340</v>
      </c>
      <c r="D337" s="8" t="s">
        <v>767</v>
      </c>
      <c r="E337" s="8" t="s">
        <v>124</v>
      </c>
      <c r="F337" s="8" t="s">
        <v>125</v>
      </c>
      <c r="G337" s="8" t="s">
        <v>126</v>
      </c>
      <c r="H337" s="8" t="s">
        <v>145</v>
      </c>
      <c r="I337" s="8" t="s">
        <v>145</v>
      </c>
      <c r="J337" s="8" t="s">
        <v>145</v>
      </c>
      <c r="K337" s="8" t="s">
        <v>145</v>
      </c>
      <c r="L337" s="8" t="s">
        <v>145</v>
      </c>
      <c r="M337" s="8" t="s">
        <v>145</v>
      </c>
      <c r="N337" s="9" t="s">
        <v>124</v>
      </c>
      <c r="O337" s="5" t="str" cm="1">
        <f t="array" ref="O337">_xlfn.XLOOKUP(Tabella2[[#This Row],[Corretta]],Tabella2[[#This Row],[opzione 1]:[opzione 10]],Tabella2[[#This Row],[opzione 1]:[opzione 10]])</f>
        <v xml:space="preserve">Perché la presenza di attese, stock intermedi, rilavorazioni e trasferimenti genera sprechi che allungano il lead time rispetto al tempo di trasformazione reale
</v>
      </c>
    </row>
    <row r="338" spans="1:15" ht="43.2" x14ac:dyDescent="0.3">
      <c r="A338" s="5" t="s">
        <v>755</v>
      </c>
      <c r="B338" s="6" t="s">
        <v>35</v>
      </c>
      <c r="C338" s="6" t="s">
        <v>341</v>
      </c>
      <c r="D338" s="6" t="s">
        <v>264</v>
      </c>
      <c r="E338" s="6" t="s">
        <v>263</v>
      </c>
      <c r="F338" s="6" t="s">
        <v>265</v>
      </c>
      <c r="G338" s="6" t="s">
        <v>266</v>
      </c>
      <c r="H338" s="6" t="s">
        <v>145</v>
      </c>
      <c r="I338" s="6" t="s">
        <v>145</v>
      </c>
      <c r="J338" s="6" t="s">
        <v>145</v>
      </c>
      <c r="K338" s="6" t="s">
        <v>145</v>
      </c>
      <c r="L338" s="6" t="s">
        <v>145</v>
      </c>
      <c r="M338" s="6" t="s">
        <v>145</v>
      </c>
      <c r="N338" s="7" t="s">
        <v>263</v>
      </c>
      <c r="O338" s="5" t="str" cm="1">
        <f t="array" ref="O338">_xlfn.XLOOKUP(Tabella2[[#This Row],[Corretta]],Tabella2[[#This Row],[opzione 1]:[opzione 10]],Tabella2[[#This Row],[opzione 1]:[opzione 10]])</f>
        <v>4,08€/pz</v>
      </c>
    </row>
    <row r="339" spans="1:15" ht="100.8" x14ac:dyDescent="0.3">
      <c r="A339" s="5" t="s">
        <v>755</v>
      </c>
      <c r="B339" s="8" t="s">
        <v>44</v>
      </c>
      <c r="C339" s="8" t="s">
        <v>734</v>
      </c>
      <c r="D339" s="8" t="s">
        <v>342</v>
      </c>
      <c r="E339" s="8" t="s">
        <v>127</v>
      </c>
      <c r="F339" s="8" t="s">
        <v>343</v>
      </c>
      <c r="G339" s="8" t="s">
        <v>128</v>
      </c>
      <c r="H339" s="8" t="s">
        <v>145</v>
      </c>
      <c r="I339" s="8" t="s">
        <v>145</v>
      </c>
      <c r="J339" s="8" t="s">
        <v>145</v>
      </c>
      <c r="K339" s="8" t="s">
        <v>145</v>
      </c>
      <c r="L339" s="8" t="s">
        <v>145</v>
      </c>
      <c r="M339" s="8" t="s">
        <v>145</v>
      </c>
      <c r="N339" s="9" t="s">
        <v>128</v>
      </c>
      <c r="O339" s="5" t="str" cm="1">
        <f t="array" ref="O339">_xlfn.XLOOKUP(Tabella2[[#This Row],[Corretta]],Tabella2[[#This Row],[opzione 1]:[opzione 10]],Tabella2[[#This Row],[opzione 1]:[opzione 10]])</f>
        <v>Perché dividere il processo in blocchi separati genera sprechi</v>
      </c>
    </row>
    <row r="340" spans="1:15" ht="144" x14ac:dyDescent="0.3">
      <c r="A340" s="5" t="s">
        <v>755</v>
      </c>
      <c r="B340" s="6" t="s">
        <v>44</v>
      </c>
      <c r="C340" s="6" t="s">
        <v>774</v>
      </c>
      <c r="D340" s="6" t="s">
        <v>129</v>
      </c>
      <c r="E340" s="6" t="s">
        <v>130</v>
      </c>
      <c r="F340" s="6" t="s">
        <v>131</v>
      </c>
      <c r="G340" s="6" t="s">
        <v>132</v>
      </c>
      <c r="H340" s="6" t="s">
        <v>145</v>
      </c>
      <c r="I340" s="6" t="s">
        <v>145</v>
      </c>
      <c r="J340" s="6" t="s">
        <v>145</v>
      </c>
      <c r="K340" s="6" t="s">
        <v>145</v>
      </c>
      <c r="L340" s="6" t="s">
        <v>145</v>
      </c>
      <c r="M340" s="6" t="s">
        <v>145</v>
      </c>
      <c r="N340" s="7" t="s">
        <v>129</v>
      </c>
      <c r="O340" s="5" t="str" cm="1">
        <f t="array" ref="O340">_xlfn.XLOOKUP(Tabella2[[#This Row],[Corretta]],Tabella2[[#This Row],[opzione 1]:[opzione 10]],Tabella2[[#This Row],[opzione 1]:[opzione 10]])</f>
        <v>Perché permette di avere una visione a 360 gradi su quello che si sta analizzando</v>
      </c>
    </row>
    <row r="341" spans="1:15" ht="72" x14ac:dyDescent="0.3">
      <c r="A341" s="5" t="s">
        <v>755</v>
      </c>
      <c r="B341" s="8" t="s">
        <v>44</v>
      </c>
      <c r="C341" s="8" t="s">
        <v>345</v>
      </c>
      <c r="D341" s="8" t="s">
        <v>437</v>
      </c>
      <c r="E341" s="8" t="s">
        <v>438</v>
      </c>
      <c r="F341" s="8" t="s">
        <v>439</v>
      </c>
      <c r="G341" s="8" t="s">
        <v>440</v>
      </c>
      <c r="H341" s="8" t="s">
        <v>145</v>
      </c>
      <c r="I341" s="8" t="s">
        <v>145</v>
      </c>
      <c r="J341" s="8" t="s">
        <v>145</v>
      </c>
      <c r="K341" s="8" t="s">
        <v>145</v>
      </c>
      <c r="L341" s="8" t="s">
        <v>145</v>
      </c>
      <c r="M341" s="8" t="s">
        <v>145</v>
      </c>
      <c r="N341" s="9" t="s">
        <v>437</v>
      </c>
      <c r="O341" s="5" t="str" cm="1">
        <f t="array" ref="O341">_xlfn.XLOOKUP(Tabella2[[#This Row],[Corretta]],Tabella2[[#This Row],[opzione 1]:[opzione 10]],Tabella2[[#This Row],[opzione 1]:[opzione 10]])</f>
        <v>Dopo aver migliorato il flusso operativo</v>
      </c>
    </row>
    <row r="342" spans="1:15" ht="28.8" x14ac:dyDescent="0.3">
      <c r="A342" s="5" t="s">
        <v>755</v>
      </c>
      <c r="B342" s="6" t="s">
        <v>44</v>
      </c>
      <c r="C342" s="6" t="s">
        <v>674</v>
      </c>
      <c r="D342" s="6" t="s">
        <v>441</v>
      </c>
      <c r="E342" s="6" t="s">
        <v>442</v>
      </c>
      <c r="F342" s="6" t="s">
        <v>443</v>
      </c>
      <c r="G342" s="6" t="s">
        <v>444</v>
      </c>
      <c r="H342" s="6" t="s">
        <v>145</v>
      </c>
      <c r="I342" s="6" t="s">
        <v>145</v>
      </c>
      <c r="J342" s="6" t="s">
        <v>145</v>
      </c>
      <c r="K342" s="6" t="s">
        <v>145</v>
      </c>
      <c r="L342" s="6" t="s">
        <v>145</v>
      </c>
      <c r="M342" s="6" t="s">
        <v>145</v>
      </c>
      <c r="N342" s="7" t="s">
        <v>443</v>
      </c>
      <c r="O342" s="5" t="str" cm="1">
        <f t="array" ref="O342">_xlfn.XLOOKUP(Tabella2[[#This Row],[Corretta]],Tabella2[[#This Row],[opzione 1]:[opzione 10]],Tabella2[[#This Row],[opzione 1]:[opzione 10]])</f>
        <v>Workflow</v>
      </c>
    </row>
    <row r="343" spans="1:15" ht="28.8" x14ac:dyDescent="0.3">
      <c r="A343" s="5" t="s">
        <v>755</v>
      </c>
      <c r="B343" s="8" t="s">
        <v>44</v>
      </c>
      <c r="C343" s="8" t="s">
        <v>675</v>
      </c>
      <c r="D343" s="8" t="s">
        <v>441</v>
      </c>
      <c r="E343" s="8" t="s">
        <v>442</v>
      </c>
      <c r="F343" s="8" t="s">
        <v>443</v>
      </c>
      <c r="G343" s="8" t="s">
        <v>445</v>
      </c>
      <c r="H343" s="8" t="s">
        <v>145</v>
      </c>
      <c r="I343" s="8" t="s">
        <v>145</v>
      </c>
      <c r="J343" s="8" t="s">
        <v>145</v>
      </c>
      <c r="K343" s="8" t="s">
        <v>145</v>
      </c>
      <c r="L343" s="8" t="s">
        <v>145</v>
      </c>
      <c r="M343" s="8" t="s">
        <v>145</v>
      </c>
      <c r="N343" s="9" t="s">
        <v>442</v>
      </c>
      <c r="O343" s="5" t="str" cm="1">
        <f t="array" ref="O343">_xlfn.XLOOKUP(Tabella2[[#This Row],[Corretta]],Tabella2[[#This Row],[opzione 1]:[opzione 10]],Tabella2[[#This Row],[opzione 1]:[opzione 10]])</f>
        <v>Flusso operativo</v>
      </c>
    </row>
    <row r="344" spans="1:15" ht="43.2" x14ac:dyDescent="0.3">
      <c r="A344" s="5" t="s">
        <v>755</v>
      </c>
      <c r="B344" s="6" t="s">
        <v>44</v>
      </c>
      <c r="C344" s="6" t="s">
        <v>676</v>
      </c>
      <c r="D344" s="6" t="s">
        <v>441</v>
      </c>
      <c r="E344" s="6" t="s">
        <v>442</v>
      </c>
      <c r="F344" s="6" t="s">
        <v>443</v>
      </c>
      <c r="G344" s="6" t="s">
        <v>445</v>
      </c>
      <c r="H344" s="6" t="s">
        <v>145</v>
      </c>
      <c r="I344" s="6" t="s">
        <v>145</v>
      </c>
      <c r="J344" s="6" t="s">
        <v>145</v>
      </c>
      <c r="K344" s="6" t="s">
        <v>145</v>
      </c>
      <c r="L344" s="6" t="s">
        <v>145</v>
      </c>
      <c r="M344" s="6" t="s">
        <v>145</v>
      </c>
      <c r="N344" s="7" t="s">
        <v>441</v>
      </c>
      <c r="O344" s="5" t="str" cm="1">
        <f t="array" ref="O344">_xlfn.XLOOKUP(Tabella2[[#This Row],[Corretta]],Tabella2[[#This Row],[opzione 1]:[opzione 10]],Tabella2[[#This Row],[opzione 1]:[opzione 10]])</f>
        <v>Flusso informativo</v>
      </c>
    </row>
    <row r="345" spans="1:15" ht="43.2" x14ac:dyDescent="0.3">
      <c r="A345" s="5" t="s">
        <v>755</v>
      </c>
      <c r="B345" s="8" t="s">
        <v>44</v>
      </c>
      <c r="C345" s="8" t="s">
        <v>677</v>
      </c>
      <c r="D345" s="8" t="s">
        <v>441</v>
      </c>
      <c r="E345" s="8" t="s">
        <v>442</v>
      </c>
      <c r="F345" s="8" t="s">
        <v>443</v>
      </c>
      <c r="G345" s="8" t="s">
        <v>445</v>
      </c>
      <c r="H345" s="8" t="s">
        <v>145</v>
      </c>
      <c r="I345" s="8" t="s">
        <v>145</v>
      </c>
      <c r="J345" s="8" t="s">
        <v>145</v>
      </c>
      <c r="K345" s="8" t="s">
        <v>145</v>
      </c>
      <c r="L345" s="8" t="s">
        <v>145</v>
      </c>
      <c r="M345" s="8" t="s">
        <v>145</v>
      </c>
      <c r="N345" s="9" t="s">
        <v>441</v>
      </c>
      <c r="O345" s="5" t="str" cm="1">
        <f t="array" ref="O345">_xlfn.XLOOKUP(Tabella2[[#This Row],[Corretta]],Tabella2[[#This Row],[opzione 1]:[opzione 10]],Tabella2[[#This Row],[opzione 1]:[opzione 10]])</f>
        <v>Flusso informativo</v>
      </c>
    </row>
    <row r="346" spans="1:15" ht="28.8" x14ac:dyDescent="0.3">
      <c r="A346" s="5" t="s">
        <v>755</v>
      </c>
      <c r="B346" s="6" t="s">
        <v>44</v>
      </c>
      <c r="C346" s="6" t="s">
        <v>678</v>
      </c>
      <c r="D346" s="6" t="s">
        <v>441</v>
      </c>
      <c r="E346" s="6" t="s">
        <v>442</v>
      </c>
      <c r="F346" s="6" t="s">
        <v>443</v>
      </c>
      <c r="G346" s="6" t="s">
        <v>445</v>
      </c>
      <c r="H346" s="6" t="s">
        <v>145</v>
      </c>
      <c r="I346" s="6" t="s">
        <v>145</v>
      </c>
      <c r="J346" s="6" t="s">
        <v>145</v>
      </c>
      <c r="K346" s="6" t="s">
        <v>145</v>
      </c>
      <c r="L346" s="6" t="s">
        <v>145</v>
      </c>
      <c r="M346" s="6" t="s">
        <v>145</v>
      </c>
      <c r="N346" s="7" t="s">
        <v>442</v>
      </c>
      <c r="O346" s="5" t="str" cm="1">
        <f t="array" ref="O346">_xlfn.XLOOKUP(Tabella2[[#This Row],[Corretta]],Tabella2[[#This Row],[opzione 1]:[opzione 10]],Tabella2[[#This Row],[opzione 1]:[opzione 10]])</f>
        <v>Flusso operativo</v>
      </c>
    </row>
    <row r="347" spans="1:15" ht="100.8" x14ac:dyDescent="0.3">
      <c r="A347" s="5" t="s">
        <v>755</v>
      </c>
      <c r="B347" s="8" t="s">
        <v>44</v>
      </c>
      <c r="C347" s="8" t="s">
        <v>133</v>
      </c>
      <c r="D347" s="8" t="s">
        <v>134</v>
      </c>
      <c r="E347" s="8" t="s">
        <v>135</v>
      </c>
      <c r="F347" s="8" t="s">
        <v>136</v>
      </c>
      <c r="G347" s="8" t="s">
        <v>137</v>
      </c>
      <c r="H347" s="8" t="s">
        <v>145</v>
      </c>
      <c r="I347" s="8" t="s">
        <v>145</v>
      </c>
      <c r="J347" s="8" t="s">
        <v>145</v>
      </c>
      <c r="K347" s="8" t="s">
        <v>145</v>
      </c>
      <c r="L347" s="8" t="s">
        <v>145</v>
      </c>
      <c r="M347" s="8" t="s">
        <v>145</v>
      </c>
      <c r="N347" s="9" t="s">
        <v>136</v>
      </c>
      <c r="O347" s="5" t="str" cm="1">
        <f t="array" ref="O347">_xlfn.XLOOKUP(Tabella2[[#This Row],[Corretta]],Tabella2[[#This Row],[opzione 1]:[opzione 10]],Tabella2[[#This Row],[opzione 1]:[opzione 10]])</f>
        <v>Formare un operatore per usare due macchine diverse</v>
      </c>
    </row>
    <row r="348" spans="1:15" ht="144" x14ac:dyDescent="0.3">
      <c r="A348" s="5" t="s">
        <v>755</v>
      </c>
      <c r="B348" s="6" t="s">
        <v>44</v>
      </c>
      <c r="C348" s="6" t="s">
        <v>735</v>
      </c>
      <c r="D348" s="6" t="s">
        <v>346</v>
      </c>
      <c r="E348" s="6" t="s">
        <v>138</v>
      </c>
      <c r="F348" s="6" t="s">
        <v>139</v>
      </c>
      <c r="G348" s="6" t="s">
        <v>768</v>
      </c>
      <c r="H348" s="6" t="s">
        <v>145</v>
      </c>
      <c r="I348" s="6" t="s">
        <v>145</v>
      </c>
      <c r="J348" s="6" t="s">
        <v>145</v>
      </c>
      <c r="K348" s="6" t="s">
        <v>145</v>
      </c>
      <c r="L348" s="6" t="s">
        <v>145</v>
      </c>
      <c r="M348" s="6" t="s">
        <v>145</v>
      </c>
      <c r="N348" s="7" t="s">
        <v>138</v>
      </c>
      <c r="O348" s="5" t="str" cm="1">
        <f t="array" ref="O348">_xlfn.XLOOKUP(Tabella2[[#This Row],[Corretta]],Tabella2[[#This Row],[opzione 1]:[opzione 10]],Tabella2[[#This Row],[opzione 1]:[opzione 10]])</f>
        <v>Gli ordini vengono evasi nei tempi medi ma con forte variabilità nei lead time cliente</v>
      </c>
    </row>
    <row r="349" spans="1:15" ht="100.8" x14ac:dyDescent="0.3">
      <c r="A349" s="5" t="s">
        <v>755</v>
      </c>
      <c r="B349" s="8" t="s">
        <v>44</v>
      </c>
      <c r="C349" s="8" t="s">
        <v>140</v>
      </c>
      <c r="D349" s="8" t="s">
        <v>141</v>
      </c>
      <c r="E349" s="8" t="s">
        <v>262</v>
      </c>
      <c r="F349" s="8" t="s">
        <v>260</v>
      </c>
      <c r="G349" s="8" t="s">
        <v>142</v>
      </c>
      <c r="H349" s="8" t="s">
        <v>145</v>
      </c>
      <c r="I349" s="8" t="s">
        <v>145</v>
      </c>
      <c r="J349" s="8" t="s">
        <v>145</v>
      </c>
      <c r="K349" s="8" t="s">
        <v>145</v>
      </c>
      <c r="L349" s="8" t="s">
        <v>145</v>
      </c>
      <c r="M349" s="8" t="s">
        <v>145</v>
      </c>
      <c r="N349" s="9" t="s">
        <v>260</v>
      </c>
      <c r="O349" s="5" t="str" cm="1">
        <f t="array" ref="O349">_xlfn.XLOOKUP(Tabella2[[#This Row],[Corretta]],Tabella2[[#This Row],[opzione 1]:[opzione 10]],Tabella2[[#This Row],[opzione 1]:[opzione 10]])</f>
        <v>Migliorare il flusso informativo spesso risolve i problemi operativi</v>
      </c>
    </row>
    <row r="350" spans="1:15" ht="100.8" x14ac:dyDescent="0.3">
      <c r="A350" s="5" t="s">
        <v>755</v>
      </c>
      <c r="B350" s="6" t="s">
        <v>44</v>
      </c>
      <c r="C350" s="6" t="s">
        <v>679</v>
      </c>
      <c r="D350" s="6" t="s">
        <v>446</v>
      </c>
      <c r="E350" s="6" t="s">
        <v>447</v>
      </c>
      <c r="F350" s="6" t="s">
        <v>259</v>
      </c>
      <c r="G350" s="6" t="s">
        <v>448</v>
      </c>
      <c r="H350" s="6" t="s">
        <v>145</v>
      </c>
      <c r="I350" s="6" t="s">
        <v>145</v>
      </c>
      <c r="J350" s="6" t="s">
        <v>145</v>
      </c>
      <c r="K350" s="6" t="s">
        <v>145</v>
      </c>
      <c r="L350" s="6" t="s">
        <v>145</v>
      </c>
      <c r="M350" s="6" t="s">
        <v>145</v>
      </c>
      <c r="N350" s="7" t="s">
        <v>259</v>
      </c>
      <c r="O350" s="5" t="str" cm="1">
        <f t="array" ref="O350">_xlfn.XLOOKUP(Tabella2[[#This Row],[Corretta]],Tabella2[[#This Row],[opzione 1]:[opzione 10]],Tabella2[[#This Row],[opzione 1]:[opzione 10]])</f>
        <v>Il flusso informativo è incoerente e non standardizzato</v>
      </c>
    </row>
    <row r="351" spans="1:15" ht="86.4" x14ac:dyDescent="0.3">
      <c r="A351" s="5" t="s">
        <v>755</v>
      </c>
      <c r="B351" s="8" t="s">
        <v>53</v>
      </c>
      <c r="C351" s="8" t="s">
        <v>610</v>
      </c>
      <c r="D351" s="8" t="s">
        <v>607</v>
      </c>
      <c r="E351" s="8" t="s">
        <v>608</v>
      </c>
      <c r="F351" s="8" t="s">
        <v>609</v>
      </c>
      <c r="G351" s="8" t="s">
        <v>449</v>
      </c>
      <c r="H351" s="8" t="s">
        <v>145</v>
      </c>
      <c r="I351" s="8" t="s">
        <v>145</v>
      </c>
      <c r="J351" s="8" t="s">
        <v>145</v>
      </c>
      <c r="K351" s="8" t="s">
        <v>145</v>
      </c>
      <c r="L351" s="8" t="s">
        <v>145</v>
      </c>
      <c r="M351" s="8" t="s">
        <v>145</v>
      </c>
      <c r="N351" s="9" t="s">
        <v>609</v>
      </c>
      <c r="O351" s="5" t="str" cm="1">
        <f t="array" ref="O351">_xlfn.XLOOKUP(Tabella2[[#This Row],[Corretta]],Tabella2[[#This Row],[opzione 1]:[opzione 10]],Tabella2[[#This Row],[opzione 1]:[opzione 10]])</f>
        <v>È un’attività potenzialmente eliminabile</v>
      </c>
    </row>
    <row r="352" spans="1:15" ht="28.8" x14ac:dyDescent="0.3">
      <c r="A352" s="5" t="s">
        <v>755</v>
      </c>
      <c r="B352" s="6" t="s">
        <v>53</v>
      </c>
      <c r="C352" s="6" t="s">
        <v>611</v>
      </c>
      <c r="D352" s="6" t="s">
        <v>612</v>
      </c>
      <c r="E352" s="7" t="s">
        <v>776</v>
      </c>
      <c r="F352" s="6" t="s">
        <v>777</v>
      </c>
      <c r="G352" s="6" t="s">
        <v>450</v>
      </c>
      <c r="H352" s="6" t="s">
        <v>145</v>
      </c>
      <c r="I352" s="6" t="s">
        <v>145</v>
      </c>
      <c r="J352" s="6" t="s">
        <v>145</v>
      </c>
      <c r="K352" s="6" t="s">
        <v>145</v>
      </c>
      <c r="L352" s="6" t="s">
        <v>145</v>
      </c>
      <c r="M352" s="6" t="s">
        <v>145</v>
      </c>
      <c r="N352" s="7" t="s">
        <v>776</v>
      </c>
      <c r="O352" s="5" t="str" cm="1">
        <f t="array" ref="O352">_xlfn.XLOOKUP(Tabella2[[#This Row],[Corretta]],Tabella2[[#This Row],[opzione 1]:[opzione 10]],Tabella2[[#This Row],[opzione 1]:[opzione 10]])</f>
        <v>Attività NVA1</v>
      </c>
    </row>
    <row r="353" spans="1:15" ht="100.8" x14ac:dyDescent="0.3">
      <c r="A353" s="5" t="s">
        <v>755</v>
      </c>
      <c r="B353" s="8" t="s">
        <v>53</v>
      </c>
      <c r="C353" s="8" t="s">
        <v>143</v>
      </c>
      <c r="D353" s="8" t="s">
        <v>616</v>
      </c>
      <c r="E353" s="8" t="s">
        <v>617</v>
      </c>
      <c r="F353" s="8" t="s">
        <v>261</v>
      </c>
      <c r="G353" s="8" t="s">
        <v>451</v>
      </c>
      <c r="H353" s="8" t="s">
        <v>145</v>
      </c>
      <c r="I353" s="8" t="s">
        <v>145</v>
      </c>
      <c r="J353" s="8" t="s">
        <v>145</v>
      </c>
      <c r="K353" s="8" t="s">
        <v>145</v>
      </c>
      <c r="L353" s="8" t="s">
        <v>145</v>
      </c>
      <c r="M353" s="8" t="s">
        <v>145</v>
      </c>
      <c r="N353" s="9" t="s">
        <v>261</v>
      </c>
      <c r="O353" s="5" t="str" cm="1">
        <f t="array" ref="O353">_xlfn.XLOOKUP(Tabella2[[#This Row],[Corretta]],Tabella2[[#This Row],[opzione 1]:[opzione 10]],Tabella2[[#This Row],[opzione 1]:[opzione 10]])</f>
        <v>Standardizzare le componenti per ridurre la varietà e i set-up</v>
      </c>
    </row>
    <row r="354" spans="1:15" ht="28.8" x14ac:dyDescent="0.3">
      <c r="A354" s="5" t="s">
        <v>755</v>
      </c>
      <c r="B354" s="6" t="s">
        <v>53</v>
      </c>
      <c r="C354" s="6" t="s">
        <v>144</v>
      </c>
      <c r="D354" s="6" t="s">
        <v>450</v>
      </c>
      <c r="E354" s="6" t="s">
        <v>452</v>
      </c>
      <c r="F354" s="6" t="s">
        <v>41</v>
      </c>
      <c r="G354" s="6" t="s">
        <v>453</v>
      </c>
      <c r="H354" s="6" t="s">
        <v>145</v>
      </c>
      <c r="I354" s="6" t="s">
        <v>145</v>
      </c>
      <c r="J354" s="6" t="s">
        <v>145</v>
      </c>
      <c r="K354" s="6" t="s">
        <v>145</v>
      </c>
      <c r="L354" s="6" t="s">
        <v>145</v>
      </c>
      <c r="M354" s="6" t="s">
        <v>145</v>
      </c>
      <c r="N354" s="7" t="s">
        <v>450</v>
      </c>
      <c r="O354" s="5" t="str" cm="1">
        <f t="array" ref="O354">_xlfn.XLOOKUP(Tabella2[[#This Row],[Corretta]],Tabella2[[#This Row],[opzione 1]:[opzione 10]],Tabella2[[#This Row],[opzione 1]:[opzione 10]])</f>
        <v>Sovrapproduzione</v>
      </c>
    </row>
    <row r="355" spans="1:15" x14ac:dyDescent="0.3">
      <c r="A355" s="5" t="s">
        <v>755</v>
      </c>
      <c r="B355" s="8" t="s">
        <v>53</v>
      </c>
      <c r="C355" s="8" t="s">
        <v>778</v>
      </c>
      <c r="D355" s="7" t="s">
        <v>454</v>
      </c>
      <c r="E355" s="8" t="s">
        <v>455</v>
      </c>
      <c r="F355" s="8" t="s">
        <v>145</v>
      </c>
      <c r="G355" s="8" t="s">
        <v>145</v>
      </c>
      <c r="H355" s="8" t="s">
        <v>145</v>
      </c>
      <c r="I355" s="8" t="s">
        <v>145</v>
      </c>
      <c r="J355" s="8" t="s">
        <v>145</v>
      </c>
      <c r="K355" s="8" t="s">
        <v>145</v>
      </c>
      <c r="L355" s="8" t="s">
        <v>145</v>
      </c>
      <c r="M355" s="8" t="s">
        <v>145</v>
      </c>
      <c r="N355" s="9" t="s">
        <v>454</v>
      </c>
      <c r="O355" s="5" t="str" cm="1">
        <f t="array" ref="O355">_xlfn.XLOOKUP(Tabella2[[#This Row],[Corretta]],Tabella2[[#This Row],[opzione 1]:[opzione 10]],Tabella2[[#This Row],[opzione 1]:[opzione 10]])</f>
        <v>Vero</v>
      </c>
    </row>
    <row r="356" spans="1:15" ht="28.8" x14ac:dyDescent="0.3">
      <c r="A356" s="5" t="s">
        <v>755</v>
      </c>
      <c r="B356" s="6" t="s">
        <v>53</v>
      </c>
      <c r="C356" s="6" t="s">
        <v>619</v>
      </c>
      <c r="D356" s="7" t="s">
        <v>454</v>
      </c>
      <c r="E356" s="6" t="s">
        <v>455</v>
      </c>
      <c r="F356" s="6" t="s">
        <v>145</v>
      </c>
      <c r="G356" s="6" t="s">
        <v>145</v>
      </c>
      <c r="H356" s="6" t="s">
        <v>145</v>
      </c>
      <c r="I356" s="6" t="s">
        <v>145</v>
      </c>
      <c r="J356" s="6" t="s">
        <v>145</v>
      </c>
      <c r="K356" s="6" t="s">
        <v>145</v>
      </c>
      <c r="L356" s="6" t="s">
        <v>145</v>
      </c>
      <c r="M356" s="6" t="s">
        <v>145</v>
      </c>
      <c r="N356" s="7" t="s">
        <v>454</v>
      </c>
      <c r="O356" s="5" t="str" cm="1">
        <f t="array" ref="O356">_xlfn.XLOOKUP(Tabella2[[#This Row],[Corretta]],Tabella2[[#This Row],[opzione 1]:[opzione 10]],Tabella2[[#This Row],[opzione 1]:[opzione 10]])</f>
        <v>Vero</v>
      </c>
    </row>
    <row r="357" spans="1:15" x14ac:dyDescent="0.3">
      <c r="A357" s="5" t="s">
        <v>755</v>
      </c>
      <c r="B357" s="8" t="s">
        <v>53</v>
      </c>
      <c r="C357" s="8" t="s">
        <v>620</v>
      </c>
      <c r="D357" s="7" t="s">
        <v>454</v>
      </c>
      <c r="E357" s="8" t="s">
        <v>455</v>
      </c>
      <c r="F357" s="8" t="s">
        <v>145</v>
      </c>
      <c r="G357" s="8" t="s">
        <v>145</v>
      </c>
      <c r="H357" s="8" t="s">
        <v>145</v>
      </c>
      <c r="I357" s="8" t="s">
        <v>145</v>
      </c>
      <c r="J357" s="8" t="s">
        <v>145</v>
      </c>
      <c r="K357" s="8" t="s">
        <v>145</v>
      </c>
      <c r="L357" s="8" t="s">
        <v>145</v>
      </c>
      <c r="M357" s="8" t="s">
        <v>145</v>
      </c>
      <c r="N357" s="9" t="s">
        <v>455</v>
      </c>
      <c r="O357" s="5" t="str" cm="1">
        <f t="array" ref="O357">_xlfn.XLOOKUP(Tabella2[[#This Row],[Corretta]],Tabella2[[#This Row],[opzione 1]:[opzione 10]],Tabella2[[#This Row],[opzione 1]:[opzione 10]])</f>
        <v>Falso</v>
      </c>
    </row>
    <row r="358" spans="1:15" ht="28.8" x14ac:dyDescent="0.3">
      <c r="A358" s="5" t="s">
        <v>755</v>
      </c>
      <c r="B358" s="6" t="s">
        <v>53</v>
      </c>
      <c r="C358" s="6" t="s">
        <v>834</v>
      </c>
      <c r="D358" s="7" t="s">
        <v>454</v>
      </c>
      <c r="E358" s="6" t="s">
        <v>455</v>
      </c>
      <c r="F358" s="6" t="s">
        <v>145</v>
      </c>
      <c r="G358" s="6" t="s">
        <v>145</v>
      </c>
      <c r="H358" s="6" t="s">
        <v>145</v>
      </c>
      <c r="I358" s="6" t="s">
        <v>145</v>
      </c>
      <c r="J358" s="6" t="s">
        <v>145</v>
      </c>
      <c r="K358" s="6" t="s">
        <v>145</v>
      </c>
      <c r="L358" s="6" t="s">
        <v>145</v>
      </c>
      <c r="M358" s="6" t="s">
        <v>145</v>
      </c>
      <c r="N358" s="7" t="s">
        <v>454</v>
      </c>
      <c r="O358" s="5" t="str" cm="1">
        <f t="array" ref="O358">_xlfn.XLOOKUP(Tabella2[[#This Row],[Corretta]],Tabella2[[#This Row],[opzione 1]:[opzione 10]],Tabella2[[#This Row],[opzione 1]:[opzione 10]])</f>
        <v>Vero</v>
      </c>
    </row>
    <row r="359" spans="1:15" ht="43.2" x14ac:dyDescent="0.3">
      <c r="A359" s="5" t="s">
        <v>755</v>
      </c>
      <c r="B359" s="8" t="s">
        <v>53</v>
      </c>
      <c r="C359" s="8" t="s">
        <v>781</v>
      </c>
      <c r="D359" s="8" t="s">
        <v>621</v>
      </c>
      <c r="E359" s="8" t="s">
        <v>457</v>
      </c>
      <c r="F359" s="8" t="s">
        <v>458</v>
      </c>
      <c r="G359" s="8" t="s">
        <v>348</v>
      </c>
      <c r="H359" s="8" t="s">
        <v>145</v>
      </c>
      <c r="I359" s="8" t="s">
        <v>145</v>
      </c>
      <c r="J359" s="8" t="s">
        <v>145</v>
      </c>
      <c r="K359" s="8" t="s">
        <v>145</v>
      </c>
      <c r="L359" s="8" t="s">
        <v>145</v>
      </c>
      <c r="M359" s="8" t="s">
        <v>145</v>
      </c>
      <c r="N359" s="9" t="s">
        <v>348</v>
      </c>
      <c r="O359" s="5" t="str" cm="1">
        <f t="array" ref="O359">_xlfn.XLOOKUP(Tabella2[[#This Row],[Corretta]],Tabella2[[#This Row],[opzione 1]:[opzione 10]],Tabella2[[#This Row],[opzione 1]:[opzione 10]])</f>
        <v>Tutte le precedenti</v>
      </c>
    </row>
    <row r="360" spans="1:15" ht="115.2" x14ac:dyDescent="0.3">
      <c r="A360" s="5" t="s">
        <v>755</v>
      </c>
      <c r="B360" s="6" t="s">
        <v>53</v>
      </c>
      <c r="C360" s="6" t="s">
        <v>349</v>
      </c>
      <c r="D360" s="6" t="s">
        <v>459</v>
      </c>
      <c r="E360" s="6" t="s">
        <v>460</v>
      </c>
      <c r="F360" s="6" t="s">
        <v>622</v>
      </c>
      <c r="G360" s="6" t="s">
        <v>461</v>
      </c>
      <c r="H360" s="6" t="s">
        <v>145</v>
      </c>
      <c r="I360" s="6" t="s">
        <v>145</v>
      </c>
      <c r="J360" s="6" t="s">
        <v>145</v>
      </c>
      <c r="K360" s="6" t="s">
        <v>145</v>
      </c>
      <c r="L360" s="6" t="s">
        <v>145</v>
      </c>
      <c r="M360" s="6" t="s">
        <v>145</v>
      </c>
      <c r="N360" s="7" t="s">
        <v>460</v>
      </c>
      <c r="O360" s="5" t="str" cm="1">
        <f t="array" ref="O360">_xlfn.XLOOKUP(Tabella2[[#This Row],[Corretta]],Tabella2[[#This Row],[opzione 1]:[opzione 10]],Tabella2[[#This Row],[opzione 1]:[opzione 10]])</f>
        <v>Dotare ogni postazione di strumenti e materiali dedicati</v>
      </c>
    </row>
    <row r="361" spans="1:15" ht="129.6" x14ac:dyDescent="0.3">
      <c r="A361" s="5" t="s">
        <v>755</v>
      </c>
      <c r="B361" s="8" t="s">
        <v>53</v>
      </c>
      <c r="C361" s="8" t="s">
        <v>625</v>
      </c>
      <c r="D361" s="8" t="s">
        <v>623</v>
      </c>
      <c r="E361" s="8" t="s">
        <v>624</v>
      </c>
      <c r="F361" s="8" t="s">
        <v>463</v>
      </c>
      <c r="G361" s="8" t="s">
        <v>462</v>
      </c>
      <c r="H361" s="8" t="s">
        <v>145</v>
      </c>
      <c r="I361" s="8" t="s">
        <v>145</v>
      </c>
      <c r="J361" s="8" t="s">
        <v>145</v>
      </c>
      <c r="K361" s="8" t="s">
        <v>145</v>
      </c>
      <c r="L361" s="8" t="s">
        <v>145</v>
      </c>
      <c r="M361" s="8" t="s">
        <v>145</v>
      </c>
      <c r="N361" s="9" t="s">
        <v>463</v>
      </c>
      <c r="O361" s="5" t="str" cm="1">
        <f t="array" ref="O361">_xlfn.XLOOKUP(Tabella2[[#This Row],[Corretta]],Tabella2[[#This Row],[opzione 1]:[opzione 10]],Tabella2[[#This Row],[opzione 1]:[opzione 10]])</f>
        <v>Vengono considerati il “male assoluto” da eliminare sistematicamente</v>
      </c>
    </row>
    <row r="362" spans="1:15" ht="129.6" x14ac:dyDescent="0.3">
      <c r="A362" s="5" t="s">
        <v>755</v>
      </c>
      <c r="B362" s="6" t="s">
        <v>64</v>
      </c>
      <c r="C362" s="6" t="s">
        <v>350</v>
      </c>
      <c r="D362" s="6" t="s">
        <v>575</v>
      </c>
      <c r="E362" s="6" t="s">
        <v>465</v>
      </c>
      <c r="F362" s="6" t="s">
        <v>576</v>
      </c>
      <c r="G362" s="6" t="s">
        <v>464</v>
      </c>
      <c r="H362" s="6" t="s">
        <v>145</v>
      </c>
      <c r="I362" s="6" t="s">
        <v>145</v>
      </c>
      <c r="J362" s="6" t="s">
        <v>145</v>
      </c>
      <c r="K362" s="6" t="s">
        <v>145</v>
      </c>
      <c r="L362" s="6" t="s">
        <v>145</v>
      </c>
      <c r="M362" s="6" t="s">
        <v>145</v>
      </c>
      <c r="N362" s="7" t="s">
        <v>465</v>
      </c>
      <c r="O362" s="5" t="str" cm="1">
        <f t="array" ref="O362">_xlfn.XLOOKUP(Tabella2[[#This Row],[Corretta]],Tabella2[[#This Row],[opzione 1]:[opzione 10]],Tabella2[[#This Row],[opzione 1]:[opzione 10]])</f>
        <v>In contesti di alta personalizzazione e variabilità della domanda</v>
      </c>
    </row>
    <row r="363" spans="1:15" ht="187.2" x14ac:dyDescent="0.3">
      <c r="A363" s="5" t="s">
        <v>755</v>
      </c>
      <c r="B363" s="8" t="s">
        <v>64</v>
      </c>
      <c r="C363" s="8" t="s">
        <v>146</v>
      </c>
      <c r="D363" s="8" t="s">
        <v>577</v>
      </c>
      <c r="E363" s="8" t="s">
        <v>578</v>
      </c>
      <c r="F363" s="8" t="s">
        <v>580</v>
      </c>
      <c r="G363" s="8" t="s">
        <v>579</v>
      </c>
      <c r="H363" s="8" t="s">
        <v>145</v>
      </c>
      <c r="I363" s="8" t="s">
        <v>145</v>
      </c>
      <c r="J363" s="8" t="s">
        <v>145</v>
      </c>
      <c r="K363" s="8" t="s">
        <v>145</v>
      </c>
      <c r="L363" s="8" t="s">
        <v>145</v>
      </c>
      <c r="M363" s="8" t="s">
        <v>145</v>
      </c>
      <c r="N363" s="9" t="s">
        <v>580</v>
      </c>
      <c r="O363" s="5" t="str" cm="1">
        <f t="array" ref="O363">_xlfn.XLOOKUP(Tabella2[[#This Row],[Corretta]],Tabella2[[#This Row],[opzione 1]:[opzione 10]],Tabella2[[#This Row],[opzione 1]:[opzione 10]])</f>
        <v>Quando il lead time richiesto è maggiore o uguale al lead time performato e i processi sono stabili</v>
      </c>
    </row>
    <row r="364" spans="1:15" ht="28.8" x14ac:dyDescent="0.3">
      <c r="A364" s="5" t="s">
        <v>755</v>
      </c>
      <c r="B364" s="6" t="s">
        <v>64</v>
      </c>
      <c r="C364" s="6" t="s">
        <v>581</v>
      </c>
      <c r="D364" s="6" t="s">
        <v>582</v>
      </c>
      <c r="E364" s="6" t="s">
        <v>583</v>
      </c>
      <c r="F364" s="6" t="s">
        <v>584</v>
      </c>
      <c r="G364" s="6" t="s">
        <v>466</v>
      </c>
      <c r="H364" s="6" t="s">
        <v>145</v>
      </c>
      <c r="I364" s="6" t="s">
        <v>145</v>
      </c>
      <c r="J364" s="6" t="s">
        <v>145</v>
      </c>
      <c r="K364" s="6" t="s">
        <v>145</v>
      </c>
      <c r="L364" s="6" t="s">
        <v>145</v>
      </c>
      <c r="M364" s="6" t="s">
        <v>145</v>
      </c>
      <c r="N364" s="7" t="s">
        <v>467</v>
      </c>
      <c r="O364" s="5" t="e" cm="1">
        <f t="array" ref="O364">_xlfn.XLOOKUP(Tabella2[[#This Row],[Corretta]],Tabella2[[#This Row],[opzione 1]:[opzione 10]],Tabella2[[#This Row],[opzione 1]:[opzione 10]])</f>
        <v>#N/A</v>
      </c>
    </row>
    <row r="365" spans="1:15" ht="144" x14ac:dyDescent="0.3">
      <c r="A365" s="5" t="s">
        <v>755</v>
      </c>
      <c r="B365" s="8" t="s">
        <v>64</v>
      </c>
      <c r="C365" s="8" t="s">
        <v>587</v>
      </c>
      <c r="D365" s="8" t="s">
        <v>585</v>
      </c>
      <c r="E365" s="8" t="s">
        <v>469</v>
      </c>
      <c r="F365" s="8" t="s">
        <v>586</v>
      </c>
      <c r="G365" s="8" t="s">
        <v>468</v>
      </c>
      <c r="H365" s="8" t="s">
        <v>145</v>
      </c>
      <c r="I365" s="8" t="s">
        <v>145</v>
      </c>
      <c r="J365" s="8" t="s">
        <v>145</v>
      </c>
      <c r="K365" s="8" t="s">
        <v>145</v>
      </c>
      <c r="L365" s="8" t="s">
        <v>145</v>
      </c>
      <c r="M365" s="8" t="s">
        <v>145</v>
      </c>
      <c r="N365" s="9" t="s">
        <v>469</v>
      </c>
      <c r="O365" s="5" t="str" cm="1">
        <f t="array" ref="O365">_xlfn.XLOOKUP(Tabella2[[#This Row],[Corretta]],Tabella2[[#This Row],[opzione 1]:[opzione 10]],Tabella2[[#This Row],[opzione 1]:[opzione 10]])</f>
        <v>Il sistema è progettato per assorbire la complessità invece che ridurla</v>
      </c>
    </row>
    <row r="366" spans="1:15" x14ac:dyDescent="0.3">
      <c r="A366" s="5" t="s">
        <v>755</v>
      </c>
      <c r="B366" s="6" t="s">
        <v>64</v>
      </c>
      <c r="C366" s="6" t="s">
        <v>588</v>
      </c>
      <c r="D366" s="9" t="s">
        <v>454</v>
      </c>
      <c r="E366" s="6" t="s">
        <v>455</v>
      </c>
      <c r="F366" s="6" t="s">
        <v>145</v>
      </c>
      <c r="G366" s="6" t="s">
        <v>145</v>
      </c>
      <c r="H366" s="6" t="s">
        <v>145</v>
      </c>
      <c r="I366" s="6" t="s">
        <v>145</v>
      </c>
      <c r="J366" s="6" t="s">
        <v>145</v>
      </c>
      <c r="K366" s="6" t="s">
        <v>145</v>
      </c>
      <c r="L366" s="6" t="s">
        <v>145</v>
      </c>
      <c r="M366" s="6" t="s">
        <v>145</v>
      </c>
      <c r="N366" s="7" t="s">
        <v>455</v>
      </c>
      <c r="O366" s="5" t="str" cm="1">
        <f t="array" ref="O366">_xlfn.XLOOKUP(Tabella2[[#This Row],[Corretta]],Tabella2[[#This Row],[opzione 1]:[opzione 10]],Tabella2[[#This Row],[opzione 1]:[opzione 10]])</f>
        <v>Falso</v>
      </c>
    </row>
    <row r="367" spans="1:15" x14ac:dyDescent="0.3">
      <c r="A367" s="5" t="s">
        <v>755</v>
      </c>
      <c r="B367" s="8" t="s">
        <v>64</v>
      </c>
      <c r="C367" s="8" t="s">
        <v>589</v>
      </c>
      <c r="D367" s="9" t="s">
        <v>454</v>
      </c>
      <c r="E367" s="8" t="s">
        <v>455</v>
      </c>
      <c r="F367" s="8" t="s">
        <v>145</v>
      </c>
      <c r="G367" s="8" t="s">
        <v>145</v>
      </c>
      <c r="H367" s="8" t="s">
        <v>145</v>
      </c>
      <c r="I367" s="8" t="s">
        <v>145</v>
      </c>
      <c r="J367" s="8" t="s">
        <v>145</v>
      </c>
      <c r="K367" s="8" t="s">
        <v>145</v>
      </c>
      <c r="L367" s="8" t="s">
        <v>145</v>
      </c>
      <c r="M367" s="8" t="s">
        <v>145</v>
      </c>
      <c r="N367" s="9" t="s">
        <v>454</v>
      </c>
      <c r="O367" s="5" t="str" cm="1">
        <f t="array" ref="O367">_xlfn.XLOOKUP(Tabella2[[#This Row],[Corretta]],Tabella2[[#This Row],[opzione 1]:[opzione 10]],Tabella2[[#This Row],[opzione 1]:[opzione 10]])</f>
        <v>Vero</v>
      </c>
    </row>
    <row r="368" spans="1:15" ht="158.4" x14ac:dyDescent="0.3">
      <c r="A368" s="5" t="s">
        <v>755</v>
      </c>
      <c r="B368" s="6" t="s">
        <v>64</v>
      </c>
      <c r="C368" s="6" t="s">
        <v>351</v>
      </c>
      <c r="D368" s="6" t="s">
        <v>593</v>
      </c>
      <c r="E368" s="6" t="s">
        <v>590</v>
      </c>
      <c r="F368" s="6" t="s">
        <v>472</v>
      </c>
      <c r="G368" s="6" t="s">
        <v>591</v>
      </c>
      <c r="H368" s="6" t="s">
        <v>145</v>
      </c>
      <c r="I368" s="6" t="s">
        <v>145</v>
      </c>
      <c r="J368" s="6" t="s">
        <v>145</v>
      </c>
      <c r="K368" s="6" t="s">
        <v>145</v>
      </c>
      <c r="L368" s="6" t="s">
        <v>145</v>
      </c>
      <c r="M368" s="6" t="s">
        <v>145</v>
      </c>
      <c r="N368" s="7" t="s">
        <v>593</v>
      </c>
      <c r="O368" s="5" t="str" cm="1">
        <f t="array" ref="O368">_xlfn.XLOOKUP(Tabella2[[#This Row],[Corretta]],Tabella2[[#This Row],[opzione 1]:[opzione 10]],Tabella2[[#This Row],[opzione 1]:[opzione 10]])</f>
        <v>Non si avranno a disposizione informazioni sulla qualità, sui costi o/e sui tempi corrette</v>
      </c>
    </row>
    <row r="369" spans="1:15" ht="172.8" x14ac:dyDescent="0.3">
      <c r="A369" s="5" t="s">
        <v>755</v>
      </c>
      <c r="B369" s="8" t="s">
        <v>64</v>
      </c>
      <c r="C369" s="8" t="s">
        <v>354</v>
      </c>
      <c r="D369" s="8" t="s">
        <v>593</v>
      </c>
      <c r="E369" s="8" t="s">
        <v>590</v>
      </c>
      <c r="F369" s="8" t="s">
        <v>472</v>
      </c>
      <c r="G369" s="8" t="s">
        <v>591</v>
      </c>
      <c r="H369" s="8" t="s">
        <v>145</v>
      </c>
      <c r="I369" s="8" t="s">
        <v>145</v>
      </c>
      <c r="J369" s="8" t="s">
        <v>145</v>
      </c>
      <c r="K369" s="8" t="s">
        <v>145</v>
      </c>
      <c r="L369" s="8" t="s">
        <v>145</v>
      </c>
      <c r="M369" s="8" t="s">
        <v>145</v>
      </c>
      <c r="N369" s="9" t="s">
        <v>591</v>
      </c>
      <c r="O369" s="5" t="str" cm="1">
        <f t="array" ref="O369">_xlfn.XLOOKUP(Tabella2[[#This Row],[Corretta]],Tabella2[[#This Row],[opzione 1]:[opzione 10]],Tabella2[[#This Row],[opzione 1]:[opzione 10]])</f>
        <v>L’attività verrà svolta corretamente, ma potrebbe mancare il momento preciso di consegna al cliente</v>
      </c>
    </row>
    <row r="370" spans="1:15" ht="28.8" x14ac:dyDescent="0.3">
      <c r="A370" s="5" t="s">
        <v>755</v>
      </c>
      <c r="B370" s="6" t="s">
        <v>64</v>
      </c>
      <c r="C370" s="6" t="s">
        <v>596</v>
      </c>
      <c r="D370" s="6" t="s">
        <v>595</v>
      </c>
      <c r="E370" s="6" t="s">
        <v>455</v>
      </c>
      <c r="F370" s="6" t="s">
        <v>145</v>
      </c>
      <c r="G370" s="6" t="s">
        <v>145</v>
      </c>
      <c r="H370" s="6" t="s">
        <v>145</v>
      </c>
      <c r="I370" s="6" t="s">
        <v>145</v>
      </c>
      <c r="J370" s="6" t="s">
        <v>145</v>
      </c>
      <c r="K370" s="6" t="s">
        <v>145</v>
      </c>
      <c r="L370" s="6" t="s">
        <v>145</v>
      </c>
      <c r="M370" s="6" t="s">
        <v>145</v>
      </c>
      <c r="N370" s="7" t="s">
        <v>455</v>
      </c>
      <c r="O370" s="5" t="str" cm="1">
        <f t="array" ref="O370">_xlfn.XLOOKUP(Tabella2[[#This Row],[Corretta]],Tabella2[[#This Row],[opzione 1]:[opzione 10]],Tabella2[[#This Row],[opzione 1]:[opzione 10]])</f>
        <v>Falso</v>
      </c>
    </row>
    <row r="371" spans="1:15" ht="28.8" x14ac:dyDescent="0.3">
      <c r="A371" s="5" t="s">
        <v>755</v>
      </c>
      <c r="B371" s="8" t="s">
        <v>64</v>
      </c>
      <c r="C371" s="8" t="s">
        <v>355</v>
      </c>
      <c r="D371" s="9" t="s">
        <v>454</v>
      </c>
      <c r="E371" s="8" t="s">
        <v>455</v>
      </c>
      <c r="F371" s="8" t="s">
        <v>145</v>
      </c>
      <c r="G371" s="8" t="s">
        <v>145</v>
      </c>
      <c r="H371" s="8" t="s">
        <v>145</v>
      </c>
      <c r="I371" s="8" t="s">
        <v>145</v>
      </c>
      <c r="J371" s="8" t="s">
        <v>145</v>
      </c>
      <c r="K371" s="8" t="s">
        <v>145</v>
      </c>
      <c r="L371" s="8" t="s">
        <v>145</v>
      </c>
      <c r="M371" s="8" t="s">
        <v>145</v>
      </c>
      <c r="N371" s="9" t="s">
        <v>454</v>
      </c>
      <c r="O371" s="5" t="str" cm="1">
        <f t="array" ref="O371">_xlfn.XLOOKUP(Tabella2[[#This Row],[Corretta]],Tabella2[[#This Row],[opzione 1]:[opzione 10]],Tabella2[[#This Row],[opzione 1]:[opzione 10]])</f>
        <v>Vero</v>
      </c>
    </row>
    <row r="372" spans="1:15" ht="172.8" x14ac:dyDescent="0.3">
      <c r="A372" s="5" t="s">
        <v>755</v>
      </c>
      <c r="B372" s="6" t="s">
        <v>64</v>
      </c>
      <c r="C372" s="6" t="s">
        <v>597</v>
      </c>
      <c r="D372" s="6" t="s">
        <v>598</v>
      </c>
      <c r="E372" s="6" t="s">
        <v>599</v>
      </c>
      <c r="F372" s="6" t="s">
        <v>474</v>
      </c>
      <c r="G372" s="6" t="s">
        <v>473</v>
      </c>
      <c r="H372" s="6" t="s">
        <v>145</v>
      </c>
      <c r="I372" s="6" t="s">
        <v>145</v>
      </c>
      <c r="J372" s="6" t="s">
        <v>145</v>
      </c>
      <c r="K372" s="6" t="s">
        <v>145</v>
      </c>
      <c r="L372" s="6" t="s">
        <v>145</v>
      </c>
      <c r="M372" s="6" t="s">
        <v>145</v>
      </c>
      <c r="N372" s="7" t="s">
        <v>474</v>
      </c>
      <c r="O372" s="5" t="str" cm="1">
        <f t="array" ref="O372">_xlfn.XLOOKUP(Tabella2[[#This Row],[Corretta]],Tabella2[[#This Row],[opzione 1]:[opzione 10]],Tabella2[[#This Row],[opzione 1]:[opzione 10]])</f>
        <v>Il processo è potenzialmente disallineato alla domanda, con rischio di generare muda</v>
      </c>
    </row>
    <row r="373" spans="1:15" ht="100.8" x14ac:dyDescent="0.3">
      <c r="A373" s="5" t="s">
        <v>755</v>
      </c>
      <c r="B373" s="8" t="s">
        <v>64</v>
      </c>
      <c r="C373" s="8" t="s">
        <v>600</v>
      </c>
      <c r="D373" s="8" t="s">
        <v>601</v>
      </c>
      <c r="E373" s="8" t="s">
        <v>602</v>
      </c>
      <c r="F373" s="8" t="s">
        <v>476</v>
      </c>
      <c r="G373" s="8" t="s">
        <v>475</v>
      </c>
      <c r="H373" s="8" t="s">
        <v>145</v>
      </c>
      <c r="I373" s="8" t="s">
        <v>145</v>
      </c>
      <c r="J373" s="8" t="s">
        <v>145</v>
      </c>
      <c r="K373" s="8" t="s">
        <v>145</v>
      </c>
      <c r="L373" s="8" t="s">
        <v>145</v>
      </c>
      <c r="M373" s="8" t="s">
        <v>145</v>
      </c>
      <c r="N373" s="9" t="s">
        <v>476</v>
      </c>
      <c r="O373" s="5" t="str" cm="1">
        <f t="array" ref="O373">_xlfn.XLOOKUP(Tabella2[[#This Row],[Corretta]],Tabella2[[#This Row],[opzione 1]:[opzione 10]],Tabella2[[#This Row],[opzione 1]:[opzione 10]])</f>
        <v>Il flusso è più lento della domanda e genera accumulo o ritardi</v>
      </c>
    </row>
    <row r="374" spans="1:15" ht="100.8" x14ac:dyDescent="0.3">
      <c r="A374" s="5" t="s">
        <v>755</v>
      </c>
      <c r="B374" s="6" t="s">
        <v>89</v>
      </c>
      <c r="C374" s="6" t="s">
        <v>680</v>
      </c>
      <c r="D374" s="6" t="s">
        <v>477</v>
      </c>
      <c r="E374" s="6" t="s">
        <v>479</v>
      </c>
      <c r="F374" s="6" t="s">
        <v>790</v>
      </c>
      <c r="G374" s="6" t="s">
        <v>478</v>
      </c>
      <c r="H374" s="6" t="s">
        <v>145</v>
      </c>
      <c r="I374" s="6" t="s">
        <v>145</v>
      </c>
      <c r="J374" s="6" t="s">
        <v>145</v>
      </c>
      <c r="K374" s="6" t="s">
        <v>145</v>
      </c>
      <c r="L374" s="6" t="s">
        <v>145</v>
      </c>
      <c r="M374" s="6" t="s">
        <v>145</v>
      </c>
      <c r="N374" s="7" t="s">
        <v>479</v>
      </c>
      <c r="O374" s="5" t="str" cm="1">
        <f t="array" ref="O374">_xlfn.XLOOKUP(Tabella2[[#This Row],[Corretta]],Tabella2[[#This Row],[opzione 1]:[opzione 10]],Tabella2[[#This Row],[opzione 1]:[opzione 10]])</f>
        <v>Il miglioramento locale ha aumentato gli stock tra le fasi</v>
      </c>
    </row>
    <row r="375" spans="1:15" ht="129.6" x14ac:dyDescent="0.3">
      <c r="A375" s="5" t="s">
        <v>755</v>
      </c>
      <c r="B375" s="8" t="s">
        <v>89</v>
      </c>
      <c r="C375" s="8" t="s">
        <v>681</v>
      </c>
      <c r="D375" s="8" t="s">
        <v>635</v>
      </c>
      <c r="E375" s="8" t="s">
        <v>636</v>
      </c>
      <c r="F375" s="8" t="s">
        <v>481</v>
      </c>
      <c r="G375" s="8" t="s">
        <v>480</v>
      </c>
      <c r="H375" s="8" t="s">
        <v>145</v>
      </c>
      <c r="I375" s="8" t="s">
        <v>145</v>
      </c>
      <c r="J375" s="8" t="s">
        <v>145</v>
      </c>
      <c r="K375" s="8" t="s">
        <v>145</v>
      </c>
      <c r="L375" s="8" t="s">
        <v>145</v>
      </c>
      <c r="M375" s="8" t="s">
        <v>145</v>
      </c>
      <c r="N375" s="9" t="s">
        <v>481</v>
      </c>
      <c r="O375" s="5" t="str" cm="1">
        <f t="array" ref="O375">_xlfn.XLOOKUP(Tabella2[[#This Row],[Corretta]],Tabella2[[#This Row],[opzione 1]:[opzione 10]],Tabella2[[#This Row],[opzione 1]:[opzione 10]])</f>
        <v>Il miglioramento non è stato verificato e standardizzato</v>
      </c>
    </row>
    <row r="376" spans="1:15" ht="28.8" x14ac:dyDescent="0.3">
      <c r="A376" s="5" t="s">
        <v>755</v>
      </c>
      <c r="B376" s="6" t="s">
        <v>89</v>
      </c>
      <c r="C376" s="6" t="s">
        <v>258</v>
      </c>
      <c r="D376" s="6" t="s">
        <v>454</v>
      </c>
      <c r="E376" s="6" t="s">
        <v>455</v>
      </c>
      <c r="F376" s="6" t="s">
        <v>145</v>
      </c>
      <c r="G376" s="6" t="s">
        <v>145</v>
      </c>
      <c r="H376" s="6" t="s">
        <v>145</v>
      </c>
      <c r="I376" s="6" t="s">
        <v>145</v>
      </c>
      <c r="J376" s="6" t="s">
        <v>145</v>
      </c>
      <c r="K376" s="6" t="s">
        <v>145</v>
      </c>
      <c r="L376" s="6" t="s">
        <v>145</v>
      </c>
      <c r="M376" s="6" t="s">
        <v>145</v>
      </c>
      <c r="N376" s="7" t="s">
        <v>454</v>
      </c>
      <c r="O376" s="5" t="str" cm="1">
        <f t="array" ref="O376">_xlfn.XLOOKUP(Tabella2[[#This Row],[Corretta]],Tabella2[[#This Row],[opzione 1]:[opzione 10]],Tabella2[[#This Row],[opzione 1]:[opzione 10]])</f>
        <v>Vero</v>
      </c>
    </row>
    <row r="377" spans="1:15" ht="28.8" x14ac:dyDescent="0.3">
      <c r="A377" s="5" t="s">
        <v>755</v>
      </c>
      <c r="B377" s="8" t="s">
        <v>89</v>
      </c>
      <c r="C377" s="8" t="s">
        <v>257</v>
      </c>
      <c r="D377" s="8" t="s">
        <v>454</v>
      </c>
      <c r="E377" s="8" t="s">
        <v>455</v>
      </c>
      <c r="F377" s="8" t="s">
        <v>145</v>
      </c>
      <c r="G377" s="8" t="s">
        <v>145</v>
      </c>
      <c r="H377" s="8" t="s">
        <v>145</v>
      </c>
      <c r="I377" s="8" t="s">
        <v>145</v>
      </c>
      <c r="J377" s="8" t="s">
        <v>145</v>
      </c>
      <c r="K377" s="8" t="s">
        <v>145</v>
      </c>
      <c r="L377" s="8" t="s">
        <v>145</v>
      </c>
      <c r="M377" s="8" t="s">
        <v>145</v>
      </c>
      <c r="N377" s="9" t="s">
        <v>454</v>
      </c>
      <c r="O377" s="5" t="str" cm="1">
        <f t="array" ref="O377">_xlfn.XLOOKUP(Tabella2[[#This Row],[Corretta]],Tabella2[[#This Row],[opzione 1]:[opzione 10]],Tabella2[[#This Row],[opzione 1]:[opzione 10]])</f>
        <v>Vero</v>
      </c>
    </row>
    <row r="378" spans="1:15" ht="129.6" x14ac:dyDescent="0.3">
      <c r="A378" s="5" t="s">
        <v>755</v>
      </c>
      <c r="B378" s="6" t="s">
        <v>89</v>
      </c>
      <c r="C378" s="6" t="s">
        <v>682</v>
      </c>
      <c r="D378" s="6" t="s">
        <v>637</v>
      </c>
      <c r="E378" s="6" t="s">
        <v>638</v>
      </c>
      <c r="F378" s="6" t="s">
        <v>483</v>
      </c>
      <c r="G378" s="6" t="s">
        <v>482</v>
      </c>
      <c r="H378" s="6" t="s">
        <v>145</v>
      </c>
      <c r="I378" s="6" t="s">
        <v>145</v>
      </c>
      <c r="J378" s="6" t="s">
        <v>145</v>
      </c>
      <c r="K378" s="6" t="s">
        <v>145</v>
      </c>
      <c r="L378" s="6" t="s">
        <v>145</v>
      </c>
      <c r="M378" s="6" t="s">
        <v>145</v>
      </c>
      <c r="N378" s="7" t="s">
        <v>483</v>
      </c>
      <c r="O378" s="5" t="str" cm="1">
        <f t="array" ref="O378">_xlfn.XLOOKUP(Tabella2[[#This Row],[Corretta]],Tabella2[[#This Row],[opzione 1]:[opzione 10]],Tabella2[[#This Row],[opzione 1]:[opzione 10]])</f>
        <v>Verificare la sostenibilità nel tempo e standardizzarla nel contesto locale</v>
      </c>
    </row>
    <row r="379" spans="1:15" ht="28.8" x14ac:dyDescent="0.3">
      <c r="A379" s="5" t="s">
        <v>755</v>
      </c>
      <c r="B379" s="8" t="s">
        <v>89</v>
      </c>
      <c r="C379" s="8" t="s">
        <v>683</v>
      </c>
      <c r="D379" s="8" t="s">
        <v>639</v>
      </c>
      <c r="E379" s="8" t="s">
        <v>640</v>
      </c>
      <c r="F379" s="8" t="s">
        <v>485</v>
      </c>
      <c r="G379" s="8" t="s">
        <v>484</v>
      </c>
      <c r="H379" s="8" t="s">
        <v>145</v>
      </c>
      <c r="I379" s="8" t="s">
        <v>145</v>
      </c>
      <c r="J379" s="8" t="s">
        <v>145</v>
      </c>
      <c r="K379" s="8" t="s">
        <v>145</v>
      </c>
      <c r="L379" s="8" t="s">
        <v>145</v>
      </c>
      <c r="M379" s="8" t="s">
        <v>145</v>
      </c>
      <c r="N379" s="9" t="s">
        <v>485</v>
      </c>
      <c r="O379" s="5" t="str" cm="1">
        <f t="array" ref="O379">_xlfn.XLOOKUP(Tabella2[[#This Row],[Corretta]],Tabella2[[#This Row],[opzione 1]:[opzione 10]],Tabella2[[#This Row],[opzione 1]:[opzione 10]])</f>
        <v>Rilevante</v>
      </c>
    </row>
    <row r="380" spans="1:15" ht="43.2" x14ac:dyDescent="0.3">
      <c r="A380" s="5" t="s">
        <v>755</v>
      </c>
      <c r="B380" s="6" t="s">
        <v>89</v>
      </c>
      <c r="C380" s="6" t="s">
        <v>684</v>
      </c>
      <c r="D380" s="6" t="s">
        <v>642</v>
      </c>
      <c r="E380" s="6" t="s">
        <v>643</v>
      </c>
      <c r="F380" s="6" t="s">
        <v>487</v>
      </c>
      <c r="G380" s="6" t="s">
        <v>486</v>
      </c>
      <c r="H380" s="6" t="s">
        <v>145</v>
      </c>
      <c r="I380" s="6" t="s">
        <v>145</v>
      </c>
      <c r="J380" s="6" t="s">
        <v>145</v>
      </c>
      <c r="K380" s="6" t="s">
        <v>145</v>
      </c>
      <c r="L380" s="6" t="s">
        <v>145</v>
      </c>
      <c r="M380" s="6" t="s">
        <v>145</v>
      </c>
      <c r="N380" s="7" t="s">
        <v>487</v>
      </c>
      <c r="O380" s="5" t="str" cm="1">
        <f t="array" ref="O380">_xlfn.XLOOKUP(Tabella2[[#This Row],[Corretta]],Tabella2[[#This Row],[opzione 1]:[opzione 10]],Tabella2[[#This Row],[opzione 1]:[opzione 10]])</f>
        <v>Sì, le rispetta tutte</v>
      </c>
    </row>
    <row r="381" spans="1:15" ht="28.8" x14ac:dyDescent="0.3">
      <c r="A381" s="5" t="s">
        <v>755</v>
      </c>
      <c r="B381" s="8" t="s">
        <v>89</v>
      </c>
      <c r="C381" s="8" t="s">
        <v>641</v>
      </c>
      <c r="D381" s="8" t="s">
        <v>491</v>
      </c>
      <c r="E381" s="8" t="s">
        <v>644</v>
      </c>
      <c r="F381" s="8" t="s">
        <v>489</v>
      </c>
      <c r="G381" s="8" t="s">
        <v>488</v>
      </c>
      <c r="H381" s="8" t="s">
        <v>145</v>
      </c>
      <c r="I381" s="8" t="s">
        <v>145</v>
      </c>
      <c r="J381" s="8" t="s">
        <v>145</v>
      </c>
      <c r="K381" s="8" t="s">
        <v>145</v>
      </c>
      <c r="L381" s="8" t="s">
        <v>145</v>
      </c>
      <c r="M381" s="8" t="s">
        <v>145</v>
      </c>
      <c r="N381" s="9" t="s">
        <v>489</v>
      </c>
      <c r="O381" s="5" t="str" cm="1">
        <f t="array" ref="O381">_xlfn.XLOOKUP(Tabella2[[#This Row],[Corretta]],Tabella2[[#This Row],[opzione 1]:[opzione 10]],Tabella2[[#This Row],[opzione 1]:[opzione 10]])</f>
        <v>Attuabilità</v>
      </c>
    </row>
    <row r="382" spans="1:15" ht="28.8" x14ac:dyDescent="0.3">
      <c r="A382" s="5" t="s">
        <v>755</v>
      </c>
      <c r="B382" s="6" t="s">
        <v>89</v>
      </c>
      <c r="C382" s="6" t="s">
        <v>685</v>
      </c>
      <c r="D382" s="6" t="s">
        <v>491</v>
      </c>
      <c r="E382" s="6" t="s">
        <v>644</v>
      </c>
      <c r="F382" s="6" t="s">
        <v>488</v>
      </c>
      <c r="G382" s="6" t="s">
        <v>489</v>
      </c>
      <c r="H382" s="6" t="s">
        <v>145</v>
      </c>
      <c r="I382" s="6" t="s">
        <v>145</v>
      </c>
      <c r="J382" s="6" t="s">
        <v>145</v>
      </c>
      <c r="K382" s="6" t="s">
        <v>145</v>
      </c>
      <c r="L382" s="6" t="s">
        <v>145</v>
      </c>
      <c r="M382" s="6" t="s">
        <v>145</v>
      </c>
      <c r="N382" s="7" t="s">
        <v>488</v>
      </c>
      <c r="O382" s="5" t="str" cm="1">
        <f t="array" ref="O382">_xlfn.XLOOKUP(Tabella2[[#This Row],[Corretta]],Tabella2[[#This Row],[opzione 1]:[opzione 10]],Tabella2[[#This Row],[opzione 1]:[opzione 10]])</f>
        <v>Misurabilità</v>
      </c>
    </row>
    <row r="383" spans="1:15" ht="28.8" x14ac:dyDescent="0.3">
      <c r="A383" s="5" t="s">
        <v>755</v>
      </c>
      <c r="B383" s="8" t="s">
        <v>89</v>
      </c>
      <c r="C383" s="8" t="s">
        <v>686</v>
      </c>
      <c r="D383" s="8" t="s">
        <v>644</v>
      </c>
      <c r="E383" s="8" t="s">
        <v>489</v>
      </c>
      <c r="F383" s="8" t="s">
        <v>491</v>
      </c>
      <c r="G383" s="8" t="s">
        <v>490</v>
      </c>
      <c r="H383" s="8" t="s">
        <v>145</v>
      </c>
      <c r="I383" s="8" t="s">
        <v>145</v>
      </c>
      <c r="J383" s="8" t="s">
        <v>145</v>
      </c>
      <c r="K383" s="8" t="s">
        <v>145</v>
      </c>
      <c r="L383" s="8" t="s">
        <v>145</v>
      </c>
      <c r="M383" s="8" t="s">
        <v>145</v>
      </c>
      <c r="N383" s="9" t="s">
        <v>491</v>
      </c>
      <c r="O383" s="5" t="str" cm="1">
        <f t="array" ref="O383">_xlfn.XLOOKUP(Tabella2[[#This Row],[Corretta]],Tabella2[[#This Row],[opzione 1]:[opzione 10]],Tabella2[[#This Row],[opzione 1]:[opzione 10]])</f>
        <v>Rilevanza</v>
      </c>
    </row>
    <row r="384" spans="1:15" ht="43.2" x14ac:dyDescent="0.3">
      <c r="A384" s="5" t="s">
        <v>755</v>
      </c>
      <c r="B384" s="6" t="s">
        <v>147</v>
      </c>
      <c r="C384" s="6" t="s">
        <v>780</v>
      </c>
      <c r="D384" s="6" t="s">
        <v>707</v>
      </c>
      <c r="E384" s="6" t="s">
        <v>708</v>
      </c>
      <c r="F384" s="6" t="s">
        <v>493</v>
      </c>
      <c r="G384" s="6" t="s">
        <v>492</v>
      </c>
      <c r="H384" s="6" t="s">
        <v>145</v>
      </c>
      <c r="I384" s="6" t="s">
        <v>145</v>
      </c>
      <c r="J384" s="6" t="s">
        <v>145</v>
      </c>
      <c r="K384" s="6" t="s">
        <v>145</v>
      </c>
      <c r="L384" s="6" t="s">
        <v>145</v>
      </c>
      <c r="M384" s="6" t="s">
        <v>145</v>
      </c>
      <c r="N384" s="7" t="s">
        <v>493</v>
      </c>
      <c r="O384" s="5" t="str" cm="1">
        <f t="array" ref="O384">_xlfn.XLOOKUP(Tabella2[[#This Row],[Corretta]],Tabella2[[#This Row],[opzione 1]:[opzione 10]],Tabella2[[#This Row],[opzione 1]:[opzione 10]])</f>
        <v>Una visione unificata</v>
      </c>
    </row>
    <row r="385" spans="1:15" ht="129.6" x14ac:dyDescent="0.3">
      <c r="A385" s="5" t="s">
        <v>755</v>
      </c>
      <c r="B385" s="8" t="s">
        <v>147</v>
      </c>
      <c r="C385" s="8" t="s">
        <v>148</v>
      </c>
      <c r="D385" s="8" t="s">
        <v>709</v>
      </c>
      <c r="E385" s="8" t="s">
        <v>495</v>
      </c>
      <c r="F385" s="8" t="s">
        <v>710</v>
      </c>
      <c r="G385" s="8" t="s">
        <v>494</v>
      </c>
      <c r="H385" s="8" t="s">
        <v>145</v>
      </c>
      <c r="I385" s="8" t="s">
        <v>145</v>
      </c>
      <c r="J385" s="8" t="s">
        <v>145</v>
      </c>
      <c r="K385" s="8" t="s">
        <v>145</v>
      </c>
      <c r="L385" s="8" t="s">
        <v>145</v>
      </c>
      <c r="M385" s="8" t="s">
        <v>145</v>
      </c>
      <c r="N385" s="9" t="s">
        <v>495</v>
      </c>
      <c r="O385" s="5" t="str" cm="1">
        <f t="array" ref="O385">_xlfn.XLOOKUP(Tabella2[[#This Row],[Corretta]],Tabella2[[#This Row],[opzione 1]:[opzione 10]],Tabella2[[#This Row],[opzione 1]:[opzione 10]])</f>
        <v>Perché i risultati si disperdono se non sono integrati nella strategia aziendale</v>
      </c>
    </row>
    <row r="386" spans="1:15" ht="172.8" x14ac:dyDescent="0.3">
      <c r="A386" s="5" t="s">
        <v>755</v>
      </c>
      <c r="B386" s="6" t="s">
        <v>147</v>
      </c>
      <c r="C386" s="6" t="s">
        <v>148</v>
      </c>
      <c r="D386" s="6" t="s">
        <v>496</v>
      </c>
      <c r="E386" s="6" t="s">
        <v>711</v>
      </c>
      <c r="F386" s="6" t="s">
        <v>712</v>
      </c>
      <c r="G386" s="6" t="s">
        <v>771</v>
      </c>
      <c r="H386" s="6" t="s">
        <v>145</v>
      </c>
      <c r="I386" s="6" t="s">
        <v>145</v>
      </c>
      <c r="J386" s="6" t="s">
        <v>145</v>
      </c>
      <c r="K386" s="6" t="s">
        <v>145</v>
      </c>
      <c r="L386" s="6" t="s">
        <v>145</v>
      </c>
      <c r="M386" s="6" t="s">
        <v>145</v>
      </c>
      <c r="N386" s="7" t="s">
        <v>496</v>
      </c>
      <c r="O386" s="5" t="str" cm="1">
        <f t="array" ref="O386">_xlfn.XLOOKUP(Tabella2[[#This Row],[Corretta]],Tabella2[[#This Row],[opzione 1]:[opzione 10]],Tabella2[[#This Row],[opzione 1]:[opzione 10]])</f>
        <v>Perché il miglioramento locale può generare risultati in contrasto con gli obiettivi complessivi</v>
      </c>
    </row>
    <row r="387" spans="1:15" ht="129.6" x14ac:dyDescent="0.3">
      <c r="A387" s="5" t="s">
        <v>755</v>
      </c>
      <c r="B387" s="8" t="s">
        <v>147</v>
      </c>
      <c r="C387" s="8" t="s">
        <v>688</v>
      </c>
      <c r="D387" s="8" t="s">
        <v>497</v>
      </c>
      <c r="E387" s="8" t="s">
        <v>498</v>
      </c>
      <c r="F387" s="8" t="s">
        <v>499</v>
      </c>
      <c r="G387" s="8" t="s">
        <v>500</v>
      </c>
      <c r="H387" s="8" t="s">
        <v>145</v>
      </c>
      <c r="I387" s="8" t="s">
        <v>145</v>
      </c>
      <c r="J387" s="8" t="s">
        <v>145</v>
      </c>
      <c r="K387" s="8" t="s">
        <v>145</v>
      </c>
      <c r="L387" s="8" t="s">
        <v>145</v>
      </c>
      <c r="M387" s="8" t="s">
        <v>145</v>
      </c>
      <c r="N387" s="9" t="s">
        <v>499</v>
      </c>
      <c r="O387" s="5" t="str" cm="1">
        <f t="array" ref="O387">_xlfn.XLOOKUP(Tabella2[[#This Row],[Corretta]],Tabella2[[#This Row],[opzione 1]:[opzione 10]],Tabella2[[#This Row],[opzione 1]:[opzione 10]])</f>
        <v>Gli obiettivi locali non sono allineati con gli obiettivi di value stream</v>
      </c>
    </row>
    <row r="388" spans="1:15" ht="129.6" x14ac:dyDescent="0.3">
      <c r="A388" s="5" t="s">
        <v>755</v>
      </c>
      <c r="B388" s="6" t="s">
        <v>147</v>
      </c>
      <c r="C388" s="6" t="s">
        <v>689</v>
      </c>
      <c r="D388" s="6" t="s">
        <v>501</v>
      </c>
      <c r="E388" s="6" t="s">
        <v>502</v>
      </c>
      <c r="F388" s="6" t="s">
        <v>503</v>
      </c>
      <c r="G388" s="6" t="s">
        <v>504</v>
      </c>
      <c r="H388" s="6" t="s">
        <v>145</v>
      </c>
      <c r="I388" s="6" t="s">
        <v>145</v>
      </c>
      <c r="J388" s="6" t="s">
        <v>145</v>
      </c>
      <c r="K388" s="6" t="s">
        <v>145</v>
      </c>
      <c r="L388" s="6" t="s">
        <v>145</v>
      </c>
      <c r="M388" s="6" t="s">
        <v>145</v>
      </c>
      <c r="N388" s="7" t="s">
        <v>503</v>
      </c>
      <c r="O388" s="5" t="str" cm="1">
        <f t="array" ref="O388">_xlfn.XLOOKUP(Tabella2[[#This Row],[Corretta]],Tabella2[[#This Row],[opzione 1]:[opzione 10]],Tabella2[[#This Row],[opzione 1]:[opzione 10]])</f>
        <v>Le aree funzionali non condividono una logica comune e strategica di flusso</v>
      </c>
    </row>
    <row r="389" spans="1:15" ht="158.4" x14ac:dyDescent="0.3">
      <c r="A389" s="5" t="s">
        <v>755</v>
      </c>
      <c r="B389" s="8" t="s">
        <v>147</v>
      </c>
      <c r="C389" s="8" t="s">
        <v>690</v>
      </c>
      <c r="D389" s="8" t="s">
        <v>713</v>
      </c>
      <c r="E389" s="8" t="s">
        <v>506</v>
      </c>
      <c r="F389" s="8" t="s">
        <v>714</v>
      </c>
      <c r="G389" s="8" t="s">
        <v>505</v>
      </c>
      <c r="H389" s="8" t="s">
        <v>145</v>
      </c>
      <c r="I389" s="8" t="s">
        <v>145</v>
      </c>
      <c r="J389" s="8" t="s">
        <v>145</v>
      </c>
      <c r="K389" s="8" t="s">
        <v>145</v>
      </c>
      <c r="L389" s="8" t="s">
        <v>145</v>
      </c>
      <c r="M389" s="8" t="s">
        <v>145</v>
      </c>
      <c r="N389" s="9" t="s">
        <v>506</v>
      </c>
      <c r="O389" s="5" t="str" cm="1">
        <f t="array" ref="O389">_xlfn.XLOOKUP(Tabella2[[#This Row],[Corretta]],Tabella2[[#This Row],[opzione 1]:[opzione 10]],Tabella2[[#This Row],[opzione 1]:[opzione 10]])</f>
        <v>Un esempio di ottimizzazione locale in conflitto con il flusso complessivo</v>
      </c>
    </row>
    <row r="390" spans="1:15" ht="129.6" x14ac:dyDescent="0.3">
      <c r="A390" s="5" t="s">
        <v>755</v>
      </c>
      <c r="B390" s="6" t="s">
        <v>147</v>
      </c>
      <c r="C390" s="6" t="s">
        <v>691</v>
      </c>
      <c r="D390" s="6" t="s">
        <v>715</v>
      </c>
      <c r="E390" s="6" t="s">
        <v>716</v>
      </c>
      <c r="F390" s="6" t="s">
        <v>508</v>
      </c>
      <c r="G390" s="6" t="s">
        <v>507</v>
      </c>
      <c r="H390" s="6" t="s">
        <v>145</v>
      </c>
      <c r="I390" s="6" t="s">
        <v>145</v>
      </c>
      <c r="J390" s="6" t="s">
        <v>145</v>
      </c>
      <c r="K390" s="6" t="s">
        <v>145</v>
      </c>
      <c r="L390" s="6" t="s">
        <v>145</v>
      </c>
      <c r="M390" s="6" t="s">
        <v>145</v>
      </c>
      <c r="N390" s="7" t="s">
        <v>508</v>
      </c>
      <c r="O390" s="5" t="str" cm="1">
        <f t="array" ref="O390">_xlfn.XLOOKUP(Tabella2[[#This Row],[Corretta]],Tabella2[[#This Row],[opzione 1]:[opzione 10]],Tabella2[[#This Row],[opzione 1]:[opzione 10]])</f>
        <v>Il sistema non è strategicamente integrato e le logiche restano in conflitto</v>
      </c>
    </row>
    <row r="391" spans="1:15" ht="129.6" x14ac:dyDescent="0.3">
      <c r="A391" s="5" t="s">
        <v>755</v>
      </c>
      <c r="B391" s="8" t="s">
        <v>147</v>
      </c>
      <c r="C391" s="8" t="s">
        <v>730</v>
      </c>
      <c r="D391" s="8" t="s">
        <v>717</v>
      </c>
      <c r="E391" s="8" t="s">
        <v>718</v>
      </c>
      <c r="F391" s="8" t="s">
        <v>510</v>
      </c>
      <c r="G391" s="8" t="s">
        <v>509</v>
      </c>
      <c r="H391" s="8" t="s">
        <v>145</v>
      </c>
      <c r="I391" s="8" t="s">
        <v>145</v>
      </c>
      <c r="J391" s="8" t="s">
        <v>145</v>
      </c>
      <c r="K391" s="8" t="s">
        <v>145</v>
      </c>
      <c r="L391" s="8" t="s">
        <v>145</v>
      </c>
      <c r="M391" s="8" t="s">
        <v>145</v>
      </c>
      <c r="N391" s="9" t="s">
        <v>510</v>
      </c>
      <c r="O391" s="5" t="str" cm="1">
        <f t="array" ref="O391">_xlfn.XLOOKUP(Tabella2[[#This Row],[Corretta]],Tabella2[[#This Row],[opzione 1]:[opzione 10]],Tabella2[[#This Row],[opzione 1]:[opzione 10]])</f>
        <v>L’obiettivo locale non è coerente con il valore complessivo per il cliente</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3DAD-8634-49D3-B10D-372388900B1C}">
  <dimension ref="A1:M94"/>
  <sheetViews>
    <sheetView workbookViewId="0"/>
  </sheetViews>
  <sheetFormatPr defaultRowHeight="14.4" x14ac:dyDescent="0.3"/>
  <sheetData>
    <row r="1" spans="1:13" ht="230.4" x14ac:dyDescent="0.3">
      <c r="A1" s="6" t="s">
        <v>12</v>
      </c>
      <c r="B1" s="6" t="s">
        <v>13</v>
      </c>
      <c r="C1" s="6" t="s">
        <v>14</v>
      </c>
      <c r="D1" s="6" t="s">
        <v>272</v>
      </c>
      <c r="E1" s="6" t="s">
        <v>15</v>
      </c>
      <c r="F1" s="6" t="s">
        <v>145</v>
      </c>
      <c r="G1" s="6" t="s">
        <v>145</v>
      </c>
      <c r="H1" s="6" t="s">
        <v>145</v>
      </c>
      <c r="I1" s="6" t="s">
        <v>145</v>
      </c>
      <c r="J1" s="6" t="s">
        <v>145</v>
      </c>
      <c r="K1" s="6" t="s">
        <v>145</v>
      </c>
      <c r="L1" s="6" t="s">
        <v>145</v>
      </c>
      <c r="M1" s="7" t="s">
        <v>14</v>
      </c>
    </row>
    <row r="2" spans="1:13" ht="115.2" x14ac:dyDescent="0.3">
      <c r="A2" s="8" t="s">
        <v>12</v>
      </c>
      <c r="B2" s="8" t="s">
        <v>16</v>
      </c>
      <c r="C2" s="8" t="s">
        <v>17</v>
      </c>
      <c r="D2" s="8" t="s">
        <v>273</v>
      </c>
      <c r="E2" s="8" t="s">
        <v>274</v>
      </c>
      <c r="F2" s="8" t="s">
        <v>275</v>
      </c>
      <c r="G2" s="8" t="s">
        <v>145</v>
      </c>
      <c r="H2" s="8" t="s">
        <v>145</v>
      </c>
      <c r="I2" s="8" t="s">
        <v>145</v>
      </c>
      <c r="J2" s="8" t="s">
        <v>145</v>
      </c>
      <c r="K2" s="8" t="s">
        <v>145</v>
      </c>
      <c r="L2" s="8" t="s">
        <v>145</v>
      </c>
      <c r="M2" s="9" t="s">
        <v>17</v>
      </c>
    </row>
    <row r="3" spans="1:13" ht="72" x14ac:dyDescent="0.3">
      <c r="A3" s="6" t="s">
        <v>12</v>
      </c>
      <c r="B3" s="6" t="s">
        <v>18</v>
      </c>
      <c r="C3" s="6" t="s">
        <v>670</v>
      </c>
      <c r="D3" s="6" t="s">
        <v>276</v>
      </c>
      <c r="E3" s="6" t="s">
        <v>277</v>
      </c>
      <c r="F3" s="6" t="s">
        <v>278</v>
      </c>
      <c r="G3" s="6" t="s">
        <v>145</v>
      </c>
      <c r="H3" s="6" t="s">
        <v>145</v>
      </c>
      <c r="I3" s="6" t="s">
        <v>145</v>
      </c>
      <c r="J3" s="6" t="s">
        <v>145</v>
      </c>
      <c r="K3" s="6" t="s">
        <v>145</v>
      </c>
      <c r="L3" s="6" t="s">
        <v>145</v>
      </c>
      <c r="M3" s="7" t="s">
        <v>670</v>
      </c>
    </row>
    <row r="4" spans="1:13" ht="100.8" x14ac:dyDescent="0.3">
      <c r="A4" s="8" t="s">
        <v>12</v>
      </c>
      <c r="B4" s="8" t="s">
        <v>19</v>
      </c>
      <c r="C4" s="8" t="s">
        <v>20</v>
      </c>
      <c r="D4" s="8" t="s">
        <v>21</v>
      </c>
      <c r="E4" s="8" t="s">
        <v>279</v>
      </c>
      <c r="F4" s="8" t="s">
        <v>280</v>
      </c>
      <c r="G4" s="8" t="s">
        <v>22</v>
      </c>
      <c r="H4" s="8" t="s">
        <v>281</v>
      </c>
      <c r="I4" s="8" t="s">
        <v>23</v>
      </c>
      <c r="J4" s="8" t="s">
        <v>282</v>
      </c>
      <c r="K4" s="8" t="s">
        <v>24</v>
      </c>
      <c r="L4" s="8" t="s">
        <v>25</v>
      </c>
      <c r="M4" s="9" t="s">
        <v>671</v>
      </c>
    </row>
    <row r="5" spans="1:13" ht="158.4" x14ac:dyDescent="0.3">
      <c r="A5" s="6" t="s">
        <v>12</v>
      </c>
      <c r="B5" s="6" t="s">
        <v>283</v>
      </c>
      <c r="C5" s="6" t="s">
        <v>26</v>
      </c>
      <c r="D5" s="6" t="s">
        <v>27</v>
      </c>
      <c r="E5" s="6" t="s">
        <v>28</v>
      </c>
      <c r="F5" s="6" t="s">
        <v>145</v>
      </c>
      <c r="G5" s="6" t="s">
        <v>145</v>
      </c>
      <c r="H5" s="6" t="s">
        <v>145</v>
      </c>
      <c r="I5" s="6" t="s">
        <v>145</v>
      </c>
      <c r="J5" s="6" t="s">
        <v>145</v>
      </c>
      <c r="K5" s="6" t="s">
        <v>145</v>
      </c>
      <c r="L5" s="6" t="s">
        <v>145</v>
      </c>
      <c r="M5" s="7" t="s">
        <v>26</v>
      </c>
    </row>
    <row r="6" spans="1:13" ht="158.4" x14ac:dyDescent="0.3">
      <c r="A6" s="8" t="s">
        <v>12</v>
      </c>
      <c r="B6" s="8" t="s">
        <v>284</v>
      </c>
      <c r="C6" s="8" t="s">
        <v>26</v>
      </c>
      <c r="D6" s="8" t="s">
        <v>27</v>
      </c>
      <c r="E6" s="8" t="s">
        <v>28</v>
      </c>
      <c r="F6" s="8" t="s">
        <v>145</v>
      </c>
      <c r="G6" s="8" t="s">
        <v>145</v>
      </c>
      <c r="H6" s="8" t="s">
        <v>145</v>
      </c>
      <c r="I6" s="8" t="s">
        <v>145</v>
      </c>
      <c r="J6" s="8" t="s">
        <v>145</v>
      </c>
      <c r="K6" s="8" t="s">
        <v>145</v>
      </c>
      <c r="L6" s="8" t="s">
        <v>145</v>
      </c>
      <c r="M6" s="9" t="s">
        <v>27</v>
      </c>
    </row>
    <row r="7" spans="1:13" ht="57.6" x14ac:dyDescent="0.3">
      <c r="A7" s="6" t="s">
        <v>12</v>
      </c>
      <c r="B7" s="6" t="s">
        <v>754</v>
      </c>
      <c r="C7" s="6">
        <v>1</v>
      </c>
      <c r="D7" s="6">
        <v>2</v>
      </c>
      <c r="E7" s="6">
        <v>3</v>
      </c>
      <c r="F7" s="6">
        <v>4</v>
      </c>
      <c r="G7" s="6" t="s">
        <v>145</v>
      </c>
      <c r="H7" s="6" t="s">
        <v>145</v>
      </c>
      <c r="I7" s="6" t="s">
        <v>145</v>
      </c>
      <c r="J7" s="6" t="s">
        <v>145</v>
      </c>
      <c r="K7" s="6" t="s">
        <v>145</v>
      </c>
      <c r="L7" s="6" t="s">
        <v>145</v>
      </c>
      <c r="M7" s="7">
        <v>3</v>
      </c>
    </row>
    <row r="8" spans="1:13" ht="57.6" x14ac:dyDescent="0.3">
      <c r="A8" s="8" t="s">
        <v>12</v>
      </c>
      <c r="B8" s="8" t="s">
        <v>753</v>
      </c>
      <c r="C8" s="8" t="s">
        <v>209</v>
      </c>
      <c r="D8" s="8" t="s">
        <v>210</v>
      </c>
      <c r="E8" s="8"/>
      <c r="F8" s="8"/>
      <c r="G8" s="8"/>
      <c r="H8" s="8"/>
      <c r="I8" s="8"/>
      <c r="J8" s="8"/>
      <c r="K8" s="8"/>
      <c r="L8" s="8"/>
      <c r="M8" s="9" t="s">
        <v>209</v>
      </c>
    </row>
    <row r="9" spans="1:13" ht="72" x14ac:dyDescent="0.3">
      <c r="A9" s="6" t="s">
        <v>12</v>
      </c>
      <c r="B9" s="6" t="s">
        <v>29</v>
      </c>
      <c r="C9" s="6" t="s">
        <v>30</v>
      </c>
      <c r="D9" s="6" t="s">
        <v>31</v>
      </c>
      <c r="E9" s="6" t="s">
        <v>32</v>
      </c>
      <c r="F9" s="6" t="s">
        <v>33</v>
      </c>
      <c r="G9" s="6" t="s">
        <v>145</v>
      </c>
      <c r="H9" s="6" t="s">
        <v>145</v>
      </c>
      <c r="I9" s="6" t="s">
        <v>145</v>
      </c>
      <c r="J9" s="6" t="s">
        <v>145</v>
      </c>
      <c r="K9" s="6" t="s">
        <v>145</v>
      </c>
      <c r="L9" s="6" t="s">
        <v>145</v>
      </c>
      <c r="M9" s="7" t="s">
        <v>34</v>
      </c>
    </row>
    <row r="10" spans="1:13" ht="144" x14ac:dyDescent="0.3">
      <c r="A10" s="8" t="s">
        <v>35</v>
      </c>
      <c r="B10" s="8" t="s">
        <v>36</v>
      </c>
      <c r="C10" s="8" t="s">
        <v>285</v>
      </c>
      <c r="D10" s="8" t="s">
        <v>286</v>
      </c>
      <c r="E10" s="8" t="s">
        <v>287</v>
      </c>
      <c r="F10" s="8" t="s">
        <v>288</v>
      </c>
      <c r="G10" s="8" t="s">
        <v>145</v>
      </c>
      <c r="H10" s="8" t="s">
        <v>145</v>
      </c>
      <c r="I10" s="8" t="s">
        <v>145</v>
      </c>
      <c r="J10" s="8" t="s">
        <v>145</v>
      </c>
      <c r="K10" s="8" t="s">
        <v>145</v>
      </c>
      <c r="L10" s="8" t="s">
        <v>145</v>
      </c>
      <c r="M10" s="9" t="s">
        <v>433</v>
      </c>
    </row>
    <row r="11" spans="1:13" ht="100.8" x14ac:dyDescent="0.3">
      <c r="A11" s="6" t="s">
        <v>35</v>
      </c>
      <c r="B11" s="6" t="s">
        <v>37</v>
      </c>
      <c r="C11" s="6" t="s">
        <v>38</v>
      </c>
      <c r="D11" s="6" t="s">
        <v>39</v>
      </c>
      <c r="E11" s="6" t="s">
        <v>40</v>
      </c>
      <c r="F11" s="6" t="s">
        <v>41</v>
      </c>
      <c r="G11" s="6" t="s">
        <v>42</v>
      </c>
      <c r="H11" s="6" t="s">
        <v>145</v>
      </c>
      <c r="I11" s="6" t="s">
        <v>145</v>
      </c>
      <c r="J11" s="6" t="s">
        <v>145</v>
      </c>
      <c r="K11" s="6" t="s">
        <v>145</v>
      </c>
      <c r="L11" s="6" t="s">
        <v>145</v>
      </c>
      <c r="M11" s="7" t="s">
        <v>43</v>
      </c>
    </row>
    <row r="12" spans="1:13" ht="158.4" x14ac:dyDescent="0.3">
      <c r="A12" s="8" t="s">
        <v>44</v>
      </c>
      <c r="B12" s="8" t="s">
        <v>45</v>
      </c>
      <c r="C12" s="8" t="s">
        <v>434</v>
      </c>
      <c r="D12" s="8" t="s">
        <v>289</v>
      </c>
      <c r="E12" s="8" t="s">
        <v>290</v>
      </c>
      <c r="F12" s="8" t="s">
        <v>291</v>
      </c>
      <c r="G12" s="8" t="s">
        <v>145</v>
      </c>
      <c r="H12" s="8" t="s">
        <v>145</v>
      </c>
      <c r="I12" s="8" t="s">
        <v>145</v>
      </c>
      <c r="J12" s="8" t="s">
        <v>145</v>
      </c>
      <c r="K12" s="8" t="s">
        <v>145</v>
      </c>
      <c r="L12" s="8" t="s">
        <v>145</v>
      </c>
      <c r="M12" s="9" t="s">
        <v>434</v>
      </c>
    </row>
    <row r="13" spans="1:13" ht="259.2" x14ac:dyDescent="0.3">
      <c r="A13" s="6" t="s">
        <v>44</v>
      </c>
      <c r="B13" s="6" t="s">
        <v>46</v>
      </c>
      <c r="C13" s="6" t="s">
        <v>435</v>
      </c>
      <c r="D13" s="6" t="s">
        <v>47</v>
      </c>
      <c r="E13" s="6" t="s">
        <v>48</v>
      </c>
      <c r="F13" s="6" t="s">
        <v>292</v>
      </c>
      <c r="G13" s="6" t="s">
        <v>145</v>
      </c>
      <c r="H13" s="6" t="s">
        <v>145</v>
      </c>
      <c r="I13" s="6" t="s">
        <v>145</v>
      </c>
      <c r="J13" s="6" t="s">
        <v>145</v>
      </c>
      <c r="K13" s="6" t="s">
        <v>145</v>
      </c>
      <c r="L13" s="6" t="s">
        <v>145</v>
      </c>
      <c r="M13" s="7" t="s">
        <v>48</v>
      </c>
    </row>
    <row r="14" spans="1:13" ht="115.2" x14ac:dyDescent="0.3">
      <c r="A14" s="8" t="s">
        <v>44</v>
      </c>
      <c r="B14" s="8" t="s">
        <v>733</v>
      </c>
      <c r="C14" s="8" t="s">
        <v>49</v>
      </c>
      <c r="D14" s="8" t="s">
        <v>50</v>
      </c>
      <c r="E14" s="8" t="s">
        <v>51</v>
      </c>
      <c r="F14" s="8" t="s">
        <v>52</v>
      </c>
      <c r="G14" s="8" t="s">
        <v>145</v>
      </c>
      <c r="H14" s="8" t="s">
        <v>145</v>
      </c>
      <c r="I14" s="8" t="s">
        <v>145</v>
      </c>
      <c r="J14" s="8" t="s">
        <v>145</v>
      </c>
      <c r="K14" s="8" t="s">
        <v>145</v>
      </c>
      <c r="L14" s="8" t="s">
        <v>145</v>
      </c>
      <c r="M14" s="9" t="s">
        <v>50</v>
      </c>
    </row>
    <row r="15" spans="1:13" ht="216" x14ac:dyDescent="0.3">
      <c r="A15" s="6" t="s">
        <v>44</v>
      </c>
      <c r="B15" s="6" t="s">
        <v>293</v>
      </c>
      <c r="C15" s="6" t="s">
        <v>294</v>
      </c>
      <c r="D15" s="6" t="s">
        <v>295</v>
      </c>
      <c r="E15" s="6" t="s">
        <v>296</v>
      </c>
      <c r="F15" s="6" t="s">
        <v>297</v>
      </c>
      <c r="G15" s="6" t="s">
        <v>145</v>
      </c>
      <c r="H15" s="6" t="s">
        <v>145</v>
      </c>
      <c r="I15" s="6" t="s">
        <v>145</v>
      </c>
      <c r="J15" s="6" t="s">
        <v>145</v>
      </c>
      <c r="K15" s="6" t="s">
        <v>145</v>
      </c>
      <c r="L15" s="6" t="s">
        <v>145</v>
      </c>
      <c r="M15" s="7" t="s">
        <v>297</v>
      </c>
    </row>
    <row r="16" spans="1:13" ht="172.8" x14ac:dyDescent="0.3">
      <c r="A16" s="8" t="s">
        <v>44</v>
      </c>
      <c r="B16" s="8" t="s">
        <v>267</v>
      </c>
      <c r="C16" s="8" t="s">
        <v>145</v>
      </c>
      <c r="D16" s="8" t="s">
        <v>145</v>
      </c>
      <c r="E16" s="8" t="s">
        <v>145</v>
      </c>
      <c r="F16" s="8" t="s">
        <v>145</v>
      </c>
      <c r="G16" s="8" t="s">
        <v>145</v>
      </c>
      <c r="H16" s="8" t="s">
        <v>145</v>
      </c>
      <c r="I16" s="8" t="s">
        <v>145</v>
      </c>
      <c r="J16" s="8" t="s">
        <v>145</v>
      </c>
      <c r="K16" s="8" t="s">
        <v>145</v>
      </c>
      <c r="L16" s="8" t="s">
        <v>145</v>
      </c>
      <c r="M16" s="9" t="s">
        <v>268</v>
      </c>
    </row>
    <row r="17" spans="1:13" ht="409.6" x14ac:dyDescent="0.3">
      <c r="A17" s="6" t="s">
        <v>44</v>
      </c>
      <c r="B17" s="6" t="s">
        <v>298</v>
      </c>
      <c r="C17" s="6" t="s">
        <v>145</v>
      </c>
      <c r="D17" s="6" t="s">
        <v>145</v>
      </c>
      <c r="E17" s="6" t="s">
        <v>145</v>
      </c>
      <c r="F17" s="6" t="s">
        <v>145</v>
      </c>
      <c r="G17" s="6" t="s">
        <v>145</v>
      </c>
      <c r="H17" s="6" t="s">
        <v>145</v>
      </c>
      <c r="I17" s="6" t="s">
        <v>145</v>
      </c>
      <c r="J17" s="6" t="s">
        <v>145</v>
      </c>
      <c r="K17" s="6" t="s">
        <v>145</v>
      </c>
      <c r="L17" s="6" t="s">
        <v>145</v>
      </c>
      <c r="M17" s="7" t="s">
        <v>672</v>
      </c>
    </row>
    <row r="18" spans="1:13" ht="172.8" x14ac:dyDescent="0.3">
      <c r="A18" s="8" t="s">
        <v>53</v>
      </c>
      <c r="B18" s="8" t="s">
        <v>54</v>
      </c>
      <c r="C18" s="8" t="s">
        <v>55</v>
      </c>
      <c r="D18" s="8" t="s">
        <v>56</v>
      </c>
      <c r="E18" s="8" t="s">
        <v>57</v>
      </c>
      <c r="F18" s="8" t="s">
        <v>58</v>
      </c>
      <c r="G18" s="8" t="s">
        <v>145</v>
      </c>
      <c r="H18" s="8" t="s">
        <v>145</v>
      </c>
      <c r="I18" s="8" t="s">
        <v>145</v>
      </c>
      <c r="J18" s="8" t="s">
        <v>145</v>
      </c>
      <c r="K18" s="8" t="s">
        <v>145</v>
      </c>
      <c r="L18" s="8" t="s">
        <v>145</v>
      </c>
      <c r="M18" s="9" t="s">
        <v>56</v>
      </c>
    </row>
    <row r="19" spans="1:13" ht="187.2" x14ac:dyDescent="0.3">
      <c r="A19" s="6" t="s">
        <v>53</v>
      </c>
      <c r="B19" s="6" t="s">
        <v>59</v>
      </c>
      <c r="C19" s="6" t="s">
        <v>60</v>
      </c>
      <c r="D19" s="6" t="s">
        <v>61</v>
      </c>
      <c r="E19" s="6" t="s">
        <v>62</v>
      </c>
      <c r="F19" s="6" t="s">
        <v>63</v>
      </c>
      <c r="G19" s="6" t="s">
        <v>145</v>
      </c>
      <c r="H19" s="6" t="s">
        <v>145</v>
      </c>
      <c r="I19" s="6" t="s">
        <v>145</v>
      </c>
      <c r="J19" s="6" t="s">
        <v>145</v>
      </c>
      <c r="K19" s="6" t="s">
        <v>145</v>
      </c>
      <c r="L19" s="6" t="s">
        <v>145</v>
      </c>
      <c r="M19" s="7" t="s">
        <v>60</v>
      </c>
    </row>
    <row r="20" spans="1:13" ht="273.60000000000002" x14ac:dyDescent="0.3">
      <c r="A20" s="8" t="s">
        <v>53</v>
      </c>
      <c r="B20" s="8" t="s">
        <v>603</v>
      </c>
      <c r="C20" s="8" t="s">
        <v>299</v>
      </c>
      <c r="D20" s="8" t="s">
        <v>300</v>
      </c>
      <c r="E20" s="8" t="s">
        <v>301</v>
      </c>
      <c r="F20" s="8" t="s">
        <v>145</v>
      </c>
      <c r="G20" s="8" t="s">
        <v>145</v>
      </c>
      <c r="H20" s="8" t="s">
        <v>145</v>
      </c>
      <c r="I20" s="8" t="s">
        <v>145</v>
      </c>
      <c r="J20" s="8" t="s">
        <v>145</v>
      </c>
      <c r="K20" s="8" t="s">
        <v>145</v>
      </c>
      <c r="L20" s="8" t="s">
        <v>145</v>
      </c>
      <c r="M20" s="9" t="s">
        <v>300</v>
      </c>
    </row>
    <row r="21" spans="1:13" ht="273.60000000000002" x14ac:dyDescent="0.3">
      <c r="A21" s="6" t="s">
        <v>53</v>
      </c>
      <c r="B21" s="6" t="s">
        <v>604</v>
      </c>
      <c r="C21" s="6" t="s">
        <v>145</v>
      </c>
      <c r="D21" s="6" t="s">
        <v>145</v>
      </c>
      <c r="E21" s="6" t="s">
        <v>145</v>
      </c>
      <c r="F21" s="6" t="s">
        <v>145</v>
      </c>
      <c r="G21" s="6" t="s">
        <v>145</v>
      </c>
      <c r="H21" s="6" t="s">
        <v>145</v>
      </c>
      <c r="I21" s="6" t="s">
        <v>145</v>
      </c>
      <c r="J21" s="6" t="s">
        <v>145</v>
      </c>
      <c r="K21" s="6" t="s">
        <v>145</v>
      </c>
      <c r="L21" s="6" t="s">
        <v>145</v>
      </c>
      <c r="M21" s="7" t="s">
        <v>436</v>
      </c>
    </row>
    <row r="22" spans="1:13" ht="403.2" x14ac:dyDescent="0.3">
      <c r="A22" s="8" t="s">
        <v>53</v>
      </c>
      <c r="B22" s="8" t="s">
        <v>605</v>
      </c>
      <c r="C22" s="8" t="s">
        <v>145</v>
      </c>
      <c r="D22" s="8" t="s">
        <v>145</v>
      </c>
      <c r="E22" s="8" t="s">
        <v>145</v>
      </c>
      <c r="F22" s="8" t="s">
        <v>145</v>
      </c>
      <c r="G22" s="8" t="s">
        <v>145</v>
      </c>
      <c r="H22" s="8" t="s">
        <v>145</v>
      </c>
      <c r="I22" s="8" t="s">
        <v>145</v>
      </c>
      <c r="J22" s="8" t="s">
        <v>145</v>
      </c>
      <c r="K22" s="8" t="s">
        <v>145</v>
      </c>
      <c r="L22" s="8" t="s">
        <v>145</v>
      </c>
      <c r="M22" s="9" t="s">
        <v>606</v>
      </c>
    </row>
    <row r="23" spans="1:13" ht="129.6" x14ac:dyDescent="0.3">
      <c r="A23" s="6" t="s">
        <v>53</v>
      </c>
      <c r="B23" s="6" t="s">
        <v>302</v>
      </c>
      <c r="C23" s="6" t="s">
        <v>303</v>
      </c>
      <c r="D23" s="6" t="s">
        <v>304</v>
      </c>
      <c r="E23" s="6" t="s">
        <v>305</v>
      </c>
      <c r="F23" s="6" t="s">
        <v>306</v>
      </c>
      <c r="G23" s="6" t="s">
        <v>145</v>
      </c>
      <c r="H23" s="6" t="s">
        <v>145</v>
      </c>
      <c r="I23" s="6" t="s">
        <v>145</v>
      </c>
      <c r="J23" s="6" t="s">
        <v>145</v>
      </c>
      <c r="K23" s="6" t="s">
        <v>145</v>
      </c>
      <c r="L23" s="6" t="s">
        <v>145</v>
      </c>
      <c r="M23" s="7" t="s">
        <v>304</v>
      </c>
    </row>
    <row r="24" spans="1:13" ht="115.2" x14ac:dyDescent="0.3">
      <c r="A24" s="8" t="s">
        <v>64</v>
      </c>
      <c r="B24" s="8" t="s">
        <v>65</v>
      </c>
      <c r="C24" s="8" t="s">
        <v>66</v>
      </c>
      <c r="D24" s="8" t="s">
        <v>67</v>
      </c>
      <c r="E24" s="8" t="s">
        <v>68</v>
      </c>
      <c r="F24" s="8" t="s">
        <v>69</v>
      </c>
      <c r="G24" s="8" t="s">
        <v>145</v>
      </c>
      <c r="H24" s="8" t="s">
        <v>145</v>
      </c>
      <c r="I24" s="8" t="s">
        <v>145</v>
      </c>
      <c r="J24" s="8" t="s">
        <v>145</v>
      </c>
      <c r="K24" s="8" t="s">
        <v>145</v>
      </c>
      <c r="L24" s="8" t="s">
        <v>145</v>
      </c>
      <c r="M24" s="9" t="s">
        <v>66</v>
      </c>
    </row>
    <row r="25" spans="1:13" ht="187.2" x14ac:dyDescent="0.3">
      <c r="A25" s="6" t="s">
        <v>64</v>
      </c>
      <c r="B25" s="6" t="s">
        <v>569</v>
      </c>
      <c r="C25" s="6" t="s">
        <v>145</v>
      </c>
      <c r="D25" s="6" t="s">
        <v>145</v>
      </c>
      <c r="E25" s="6" t="s">
        <v>145</v>
      </c>
      <c r="F25" s="6" t="s">
        <v>145</v>
      </c>
      <c r="G25" s="6" t="s">
        <v>145</v>
      </c>
      <c r="H25" s="6" t="s">
        <v>145</v>
      </c>
      <c r="I25" s="6" t="s">
        <v>145</v>
      </c>
      <c r="J25" s="6" t="s">
        <v>145</v>
      </c>
      <c r="K25" s="6" t="s">
        <v>145</v>
      </c>
      <c r="L25" s="6" t="s">
        <v>145</v>
      </c>
      <c r="M25" s="7" t="s">
        <v>307</v>
      </c>
    </row>
    <row r="26" spans="1:13" ht="158.4" x14ac:dyDescent="0.3">
      <c r="A26" s="8" t="s">
        <v>64</v>
      </c>
      <c r="B26" s="8" t="s">
        <v>269</v>
      </c>
      <c r="C26" s="8" t="s">
        <v>145</v>
      </c>
      <c r="D26" s="8" t="s">
        <v>145</v>
      </c>
      <c r="E26" s="8" t="s">
        <v>145</v>
      </c>
      <c r="F26" s="8" t="s">
        <v>145</v>
      </c>
      <c r="G26" s="8" t="s">
        <v>145</v>
      </c>
      <c r="H26" s="8" t="s">
        <v>145</v>
      </c>
      <c r="I26" s="8" t="s">
        <v>145</v>
      </c>
      <c r="J26" s="8" t="s">
        <v>145</v>
      </c>
      <c r="K26" s="8" t="s">
        <v>145</v>
      </c>
      <c r="L26" s="8" t="s">
        <v>145</v>
      </c>
      <c r="M26" s="9" t="s">
        <v>270</v>
      </c>
    </row>
    <row r="27" spans="1:13" ht="259.2" x14ac:dyDescent="0.3">
      <c r="A27" s="6" t="s">
        <v>64</v>
      </c>
      <c r="B27" s="6" t="s">
        <v>308</v>
      </c>
      <c r="C27" s="6" t="s">
        <v>70</v>
      </c>
      <c r="D27" s="6" t="s">
        <v>71</v>
      </c>
      <c r="E27" s="6" t="s">
        <v>72</v>
      </c>
      <c r="F27" s="6" t="s">
        <v>73</v>
      </c>
      <c r="G27" s="6" t="s">
        <v>145</v>
      </c>
      <c r="H27" s="6" t="s">
        <v>145</v>
      </c>
      <c r="I27" s="6" t="s">
        <v>145</v>
      </c>
      <c r="J27" s="6" t="s">
        <v>145</v>
      </c>
      <c r="K27" s="6" t="s">
        <v>145</v>
      </c>
      <c r="L27" s="6" t="s">
        <v>145</v>
      </c>
      <c r="M27" s="7" t="s">
        <v>72</v>
      </c>
    </row>
    <row r="28" spans="1:13" ht="158.4" x14ac:dyDescent="0.3">
      <c r="A28" s="8" t="s">
        <v>64</v>
      </c>
      <c r="B28" s="8" t="s">
        <v>571</v>
      </c>
      <c r="C28" s="8" t="s">
        <v>74</v>
      </c>
      <c r="D28" s="8" t="s">
        <v>75</v>
      </c>
      <c r="E28" s="8" t="s">
        <v>309</v>
      </c>
      <c r="F28" s="8" t="s">
        <v>570</v>
      </c>
      <c r="G28" s="8" t="s">
        <v>145</v>
      </c>
      <c r="H28" s="8" t="s">
        <v>145</v>
      </c>
      <c r="I28" s="8" t="s">
        <v>145</v>
      </c>
      <c r="J28" s="8" t="s">
        <v>145</v>
      </c>
      <c r="K28" s="8" t="s">
        <v>145</v>
      </c>
      <c r="L28" s="8" t="s">
        <v>145</v>
      </c>
      <c r="M28" s="9" t="s">
        <v>74</v>
      </c>
    </row>
    <row r="29" spans="1:13" ht="409.6" x14ac:dyDescent="0.3">
      <c r="A29" s="6" t="s">
        <v>64</v>
      </c>
      <c r="B29" s="6" t="s">
        <v>572</v>
      </c>
      <c r="C29" s="6" t="s">
        <v>76</v>
      </c>
      <c r="D29" s="6" t="s">
        <v>574</v>
      </c>
      <c r="E29" s="6" t="s">
        <v>573</v>
      </c>
      <c r="F29" s="6" t="s">
        <v>77</v>
      </c>
      <c r="G29" s="6" t="s">
        <v>145</v>
      </c>
      <c r="H29" s="6" t="s">
        <v>145</v>
      </c>
      <c r="I29" s="6" t="s">
        <v>145</v>
      </c>
      <c r="J29" s="6" t="s">
        <v>145</v>
      </c>
      <c r="K29" s="6" t="s">
        <v>145</v>
      </c>
      <c r="L29" s="6" t="s">
        <v>145</v>
      </c>
      <c r="M29" s="7" t="s">
        <v>77</v>
      </c>
    </row>
    <row r="30" spans="1:13" ht="288" x14ac:dyDescent="0.3">
      <c r="A30" s="8" t="s">
        <v>64</v>
      </c>
      <c r="B30" s="8" t="s">
        <v>310</v>
      </c>
      <c r="C30" s="8" t="s">
        <v>74</v>
      </c>
      <c r="D30" s="8" t="s">
        <v>75</v>
      </c>
      <c r="E30" s="8" t="s">
        <v>78</v>
      </c>
      <c r="F30" s="8" t="s">
        <v>570</v>
      </c>
      <c r="G30" s="8" t="s">
        <v>145</v>
      </c>
      <c r="H30" s="8" t="s">
        <v>145</v>
      </c>
      <c r="I30" s="8" t="s">
        <v>145</v>
      </c>
      <c r="J30" s="8" t="s">
        <v>145</v>
      </c>
      <c r="K30" s="8" t="s">
        <v>145</v>
      </c>
      <c r="L30" s="8" t="s">
        <v>145</v>
      </c>
      <c r="M30" s="9" t="s">
        <v>78</v>
      </c>
    </row>
    <row r="31" spans="1:13" ht="158.4" x14ac:dyDescent="0.3">
      <c r="A31" s="6" t="s">
        <v>64</v>
      </c>
      <c r="B31" s="6" t="s">
        <v>311</v>
      </c>
      <c r="C31" s="6" t="s">
        <v>79</v>
      </c>
      <c r="D31" s="6" t="s">
        <v>80</v>
      </c>
      <c r="E31" s="6" t="s">
        <v>312</v>
      </c>
      <c r="F31" s="6" t="s">
        <v>81</v>
      </c>
      <c r="G31" s="6" t="s">
        <v>145</v>
      </c>
      <c r="H31" s="6" t="s">
        <v>145</v>
      </c>
      <c r="I31" s="6" t="s">
        <v>145</v>
      </c>
      <c r="J31" s="6" t="s">
        <v>145</v>
      </c>
      <c r="K31" s="6" t="s">
        <v>145</v>
      </c>
      <c r="L31" s="6" t="s">
        <v>145</v>
      </c>
      <c r="M31" s="7" t="s">
        <v>81</v>
      </c>
    </row>
    <row r="32" spans="1:13" ht="100.8" x14ac:dyDescent="0.3">
      <c r="A32" s="8" t="s">
        <v>64</v>
      </c>
      <c r="B32" s="8" t="s">
        <v>82</v>
      </c>
      <c r="C32" s="8" t="s">
        <v>313</v>
      </c>
      <c r="D32" s="8" t="s">
        <v>83</v>
      </c>
      <c r="E32" s="8" t="s">
        <v>314</v>
      </c>
      <c r="F32" s="8" t="s">
        <v>315</v>
      </c>
      <c r="G32" s="8" t="s">
        <v>145</v>
      </c>
      <c r="H32" s="8" t="s">
        <v>145</v>
      </c>
      <c r="I32" s="8" t="s">
        <v>145</v>
      </c>
      <c r="J32" s="8" t="s">
        <v>145</v>
      </c>
      <c r="K32" s="8" t="s">
        <v>145</v>
      </c>
      <c r="L32" s="8" t="s">
        <v>145</v>
      </c>
      <c r="M32" s="9" t="s">
        <v>313</v>
      </c>
    </row>
    <row r="33" spans="1:13" ht="158.4" x14ac:dyDescent="0.3">
      <c r="A33" s="6" t="s">
        <v>64</v>
      </c>
      <c r="B33" s="6" t="s">
        <v>84</v>
      </c>
      <c r="C33" s="6" t="s">
        <v>85</v>
      </c>
      <c r="D33" s="6" t="s">
        <v>86</v>
      </c>
      <c r="E33" s="6" t="s">
        <v>87</v>
      </c>
      <c r="F33" s="6" t="s">
        <v>88</v>
      </c>
      <c r="G33" s="6" t="s">
        <v>145</v>
      </c>
      <c r="H33" s="6" t="s">
        <v>145</v>
      </c>
      <c r="I33" s="6" t="s">
        <v>145</v>
      </c>
      <c r="J33" s="6" t="s">
        <v>145</v>
      </c>
      <c r="K33" s="6" t="s">
        <v>145</v>
      </c>
      <c r="L33" s="6" t="s">
        <v>145</v>
      </c>
      <c r="M33" s="7" t="s">
        <v>85</v>
      </c>
    </row>
    <row r="34" spans="1:13" ht="129.6" x14ac:dyDescent="0.3">
      <c r="A34" s="8" t="s">
        <v>89</v>
      </c>
      <c r="B34" s="8" t="s">
        <v>90</v>
      </c>
      <c r="C34" s="8" t="s">
        <v>316</v>
      </c>
      <c r="D34" s="8" t="s">
        <v>91</v>
      </c>
      <c r="E34" s="8" t="s">
        <v>92</v>
      </c>
      <c r="F34" s="8" t="s">
        <v>93</v>
      </c>
      <c r="G34" s="8" t="s">
        <v>145</v>
      </c>
      <c r="H34" s="8" t="s">
        <v>145</v>
      </c>
      <c r="I34" s="8" t="s">
        <v>145</v>
      </c>
      <c r="J34" s="8" t="s">
        <v>145</v>
      </c>
      <c r="K34" s="8" t="s">
        <v>145</v>
      </c>
      <c r="L34" s="8" t="s">
        <v>145</v>
      </c>
      <c r="M34" s="9" t="s">
        <v>316</v>
      </c>
    </row>
    <row r="35" spans="1:13" ht="100.8" x14ac:dyDescent="0.3">
      <c r="A35" s="6" t="s">
        <v>94</v>
      </c>
      <c r="B35" s="6" t="s">
        <v>271</v>
      </c>
      <c r="C35" s="6" t="s">
        <v>317</v>
      </c>
      <c r="D35" s="6" t="s">
        <v>318</v>
      </c>
      <c r="E35" s="6" t="s">
        <v>319</v>
      </c>
      <c r="F35" s="6" t="s">
        <v>320</v>
      </c>
      <c r="G35" s="6" t="s">
        <v>145</v>
      </c>
      <c r="H35" s="6" t="s">
        <v>145</v>
      </c>
      <c r="I35" s="6" t="s">
        <v>145</v>
      </c>
      <c r="J35" s="6" t="s">
        <v>145</v>
      </c>
      <c r="K35" s="6" t="s">
        <v>145</v>
      </c>
      <c r="L35" s="6" t="s">
        <v>145</v>
      </c>
      <c r="M35" s="7" t="s">
        <v>319</v>
      </c>
    </row>
    <row r="36" spans="1:13" ht="129.6" x14ac:dyDescent="0.3">
      <c r="A36" s="8" t="s">
        <v>94</v>
      </c>
      <c r="B36" s="8" t="s">
        <v>95</v>
      </c>
      <c r="C36" s="8" t="s">
        <v>96</v>
      </c>
      <c r="D36" s="8" t="s">
        <v>97</v>
      </c>
      <c r="E36" s="8" t="s">
        <v>96</v>
      </c>
      <c r="F36" s="8" t="s">
        <v>98</v>
      </c>
      <c r="G36" s="8" t="s">
        <v>145</v>
      </c>
      <c r="H36" s="8" t="s">
        <v>145</v>
      </c>
      <c r="I36" s="8" t="s">
        <v>145</v>
      </c>
      <c r="J36" s="8" t="s">
        <v>145</v>
      </c>
      <c r="K36" s="8" t="s">
        <v>145</v>
      </c>
      <c r="L36" s="8" t="s">
        <v>145</v>
      </c>
      <c r="M36" s="9" t="s">
        <v>97</v>
      </c>
    </row>
    <row r="37" spans="1:13" ht="172.8" x14ac:dyDescent="0.3">
      <c r="A37" s="6" t="s">
        <v>35</v>
      </c>
      <c r="B37" s="6" t="s">
        <v>336</v>
      </c>
      <c r="C37" s="6" t="s">
        <v>337</v>
      </c>
      <c r="D37" s="6" t="s">
        <v>338</v>
      </c>
      <c r="E37" s="6" t="s">
        <v>339</v>
      </c>
      <c r="F37" s="6" t="s">
        <v>145</v>
      </c>
      <c r="G37" s="6" t="s">
        <v>145</v>
      </c>
      <c r="H37" s="6" t="s">
        <v>145</v>
      </c>
      <c r="I37" s="6" t="s">
        <v>145</v>
      </c>
      <c r="J37" s="6" t="s">
        <v>145</v>
      </c>
      <c r="K37" s="6" t="s">
        <v>145</v>
      </c>
      <c r="L37" s="6" t="s">
        <v>145</v>
      </c>
      <c r="M37" s="7" t="s">
        <v>338</v>
      </c>
    </row>
    <row r="38" spans="1:13" ht="316.8" x14ac:dyDescent="0.3">
      <c r="A38" s="8" t="s">
        <v>35</v>
      </c>
      <c r="B38" s="8" t="s">
        <v>340</v>
      </c>
      <c r="C38" s="8" t="s">
        <v>719</v>
      </c>
      <c r="D38" s="8" t="s">
        <v>124</v>
      </c>
      <c r="E38" s="8" t="s">
        <v>125</v>
      </c>
      <c r="F38" s="8" t="s">
        <v>126</v>
      </c>
      <c r="G38" s="8" t="s">
        <v>145</v>
      </c>
      <c r="H38" s="8" t="s">
        <v>145</v>
      </c>
      <c r="I38" s="8" t="s">
        <v>145</v>
      </c>
      <c r="J38" s="8" t="s">
        <v>145</v>
      </c>
      <c r="K38" s="8" t="s">
        <v>145</v>
      </c>
      <c r="L38" s="8" t="s">
        <v>145</v>
      </c>
      <c r="M38" s="9" t="s">
        <v>124</v>
      </c>
    </row>
    <row r="39" spans="1:13" ht="409.6" x14ac:dyDescent="0.3">
      <c r="A39" s="6" t="s">
        <v>35</v>
      </c>
      <c r="B39" s="6" t="s">
        <v>341</v>
      </c>
      <c r="C39" s="6" t="s">
        <v>264</v>
      </c>
      <c r="D39" s="6" t="s">
        <v>263</v>
      </c>
      <c r="E39" s="6" t="s">
        <v>265</v>
      </c>
      <c r="F39" s="6" t="s">
        <v>266</v>
      </c>
      <c r="G39" s="6" t="s">
        <v>145</v>
      </c>
      <c r="H39" s="6" t="s">
        <v>145</v>
      </c>
      <c r="I39" s="6" t="s">
        <v>145</v>
      </c>
      <c r="J39" s="6" t="s">
        <v>145</v>
      </c>
      <c r="K39" s="6" t="s">
        <v>145</v>
      </c>
      <c r="L39" s="6" t="s">
        <v>145</v>
      </c>
      <c r="M39" s="7" t="s">
        <v>263</v>
      </c>
    </row>
    <row r="40" spans="1:13" ht="216" x14ac:dyDescent="0.3">
      <c r="A40" s="8" t="s">
        <v>44</v>
      </c>
      <c r="B40" s="8" t="s">
        <v>734</v>
      </c>
      <c r="C40" s="8" t="s">
        <v>342</v>
      </c>
      <c r="D40" s="8" t="s">
        <v>127</v>
      </c>
      <c r="E40" s="8" t="s">
        <v>343</v>
      </c>
      <c r="F40" s="8" t="s">
        <v>128</v>
      </c>
      <c r="G40" s="8" t="s">
        <v>145</v>
      </c>
      <c r="H40" s="8" t="s">
        <v>145</v>
      </c>
      <c r="I40" s="8" t="s">
        <v>145</v>
      </c>
      <c r="J40" s="8" t="s">
        <v>145</v>
      </c>
      <c r="K40" s="8" t="s">
        <v>145</v>
      </c>
      <c r="L40" s="8" t="s">
        <v>145</v>
      </c>
      <c r="M40" s="9" t="s">
        <v>128</v>
      </c>
    </row>
    <row r="41" spans="1:13" ht="187.2" x14ac:dyDescent="0.3">
      <c r="A41" s="6" t="s">
        <v>44</v>
      </c>
      <c r="B41" s="6" t="s">
        <v>344</v>
      </c>
      <c r="C41" s="6" t="s">
        <v>129</v>
      </c>
      <c r="D41" s="6" t="s">
        <v>130</v>
      </c>
      <c r="E41" s="6" t="s">
        <v>131</v>
      </c>
      <c r="F41" s="6" t="s">
        <v>132</v>
      </c>
      <c r="G41" s="6" t="s">
        <v>145</v>
      </c>
      <c r="H41" s="6" t="s">
        <v>145</v>
      </c>
      <c r="I41" s="6" t="s">
        <v>145</v>
      </c>
      <c r="J41" s="6" t="s">
        <v>145</v>
      </c>
      <c r="K41" s="6" t="s">
        <v>145</v>
      </c>
      <c r="L41" s="6" t="s">
        <v>145</v>
      </c>
      <c r="M41" s="7" t="s">
        <v>129</v>
      </c>
    </row>
    <row r="42" spans="1:13" ht="201.6" x14ac:dyDescent="0.3">
      <c r="A42" s="8" t="s">
        <v>44</v>
      </c>
      <c r="B42" s="8" t="s">
        <v>345</v>
      </c>
      <c r="C42" s="8" t="s">
        <v>437</v>
      </c>
      <c r="D42" s="8" t="s">
        <v>438</v>
      </c>
      <c r="E42" s="8" t="s">
        <v>439</v>
      </c>
      <c r="F42" s="8" t="s">
        <v>440</v>
      </c>
      <c r="G42" s="8" t="s">
        <v>145</v>
      </c>
      <c r="H42" s="8" t="s">
        <v>145</v>
      </c>
      <c r="I42" s="8" t="s">
        <v>145</v>
      </c>
      <c r="J42" s="8" t="s">
        <v>145</v>
      </c>
      <c r="K42" s="8" t="s">
        <v>145</v>
      </c>
      <c r="L42" s="8" t="s">
        <v>145</v>
      </c>
      <c r="M42" s="9" t="s">
        <v>437</v>
      </c>
    </row>
    <row r="43" spans="1:13" ht="288" x14ac:dyDescent="0.3">
      <c r="A43" s="6" t="s">
        <v>44</v>
      </c>
      <c r="B43" s="6" t="s">
        <v>674</v>
      </c>
      <c r="C43" s="6" t="s">
        <v>441</v>
      </c>
      <c r="D43" s="6" t="s">
        <v>442</v>
      </c>
      <c r="E43" s="6" t="s">
        <v>443</v>
      </c>
      <c r="F43" s="6" t="s">
        <v>444</v>
      </c>
      <c r="G43" s="6" t="s">
        <v>145</v>
      </c>
      <c r="H43" s="6" t="s">
        <v>145</v>
      </c>
      <c r="I43" s="6" t="s">
        <v>145</v>
      </c>
      <c r="J43" s="6" t="s">
        <v>145</v>
      </c>
      <c r="K43" s="6" t="s">
        <v>145</v>
      </c>
      <c r="L43" s="6" t="s">
        <v>145</v>
      </c>
      <c r="M43" s="7" t="s">
        <v>443</v>
      </c>
    </row>
    <row r="44" spans="1:13" ht="288" x14ac:dyDescent="0.3">
      <c r="A44" s="8" t="s">
        <v>44</v>
      </c>
      <c r="B44" s="8" t="s">
        <v>675</v>
      </c>
      <c r="C44" s="8" t="s">
        <v>441</v>
      </c>
      <c r="D44" s="8" t="s">
        <v>442</v>
      </c>
      <c r="E44" s="8" t="s">
        <v>443</v>
      </c>
      <c r="F44" s="8" t="s">
        <v>445</v>
      </c>
      <c r="G44" s="8" t="s">
        <v>145</v>
      </c>
      <c r="H44" s="8" t="s">
        <v>145</v>
      </c>
      <c r="I44" s="8" t="s">
        <v>145</v>
      </c>
      <c r="J44" s="8" t="s">
        <v>145</v>
      </c>
      <c r="K44" s="8" t="s">
        <v>145</v>
      </c>
      <c r="L44" s="8" t="s">
        <v>145</v>
      </c>
      <c r="M44" s="9" t="s">
        <v>442</v>
      </c>
    </row>
    <row r="45" spans="1:13" ht="360" x14ac:dyDescent="0.3">
      <c r="A45" s="6" t="s">
        <v>44</v>
      </c>
      <c r="B45" s="6" t="s">
        <v>676</v>
      </c>
      <c r="C45" s="6" t="s">
        <v>441</v>
      </c>
      <c r="D45" s="6" t="s">
        <v>442</v>
      </c>
      <c r="E45" s="6" t="s">
        <v>443</v>
      </c>
      <c r="F45" s="6" t="s">
        <v>445</v>
      </c>
      <c r="G45" s="6" t="s">
        <v>145</v>
      </c>
      <c r="H45" s="6" t="s">
        <v>145</v>
      </c>
      <c r="I45" s="6" t="s">
        <v>145</v>
      </c>
      <c r="J45" s="6" t="s">
        <v>145</v>
      </c>
      <c r="K45" s="6" t="s">
        <v>145</v>
      </c>
      <c r="L45" s="6" t="s">
        <v>145</v>
      </c>
      <c r="M45" s="7" t="s">
        <v>441</v>
      </c>
    </row>
    <row r="46" spans="1:13" ht="230.4" x14ac:dyDescent="0.3">
      <c r="A46" s="8" t="s">
        <v>44</v>
      </c>
      <c r="B46" s="8" t="s">
        <v>677</v>
      </c>
      <c r="C46" s="8" t="s">
        <v>441</v>
      </c>
      <c r="D46" s="8" t="s">
        <v>442</v>
      </c>
      <c r="E46" s="8" t="s">
        <v>443</v>
      </c>
      <c r="F46" s="8" t="s">
        <v>445</v>
      </c>
      <c r="G46" s="8" t="s">
        <v>145</v>
      </c>
      <c r="H46" s="8" t="s">
        <v>145</v>
      </c>
      <c r="I46" s="8" t="s">
        <v>145</v>
      </c>
      <c r="J46" s="8" t="s">
        <v>145</v>
      </c>
      <c r="K46" s="8" t="s">
        <v>145</v>
      </c>
      <c r="L46" s="8" t="s">
        <v>145</v>
      </c>
      <c r="M46" s="9" t="s">
        <v>441</v>
      </c>
    </row>
    <row r="47" spans="1:13" ht="288" x14ac:dyDescent="0.3">
      <c r="A47" s="6" t="s">
        <v>44</v>
      </c>
      <c r="B47" s="6" t="s">
        <v>678</v>
      </c>
      <c r="C47" s="6" t="s">
        <v>441</v>
      </c>
      <c r="D47" s="6" t="s">
        <v>442</v>
      </c>
      <c r="E47" s="6" t="s">
        <v>443</v>
      </c>
      <c r="F47" s="6" t="s">
        <v>445</v>
      </c>
      <c r="G47" s="6" t="s">
        <v>145</v>
      </c>
      <c r="H47" s="6" t="s">
        <v>145</v>
      </c>
      <c r="I47" s="6" t="s">
        <v>145</v>
      </c>
      <c r="J47" s="6" t="s">
        <v>145</v>
      </c>
      <c r="K47" s="6" t="s">
        <v>145</v>
      </c>
      <c r="L47" s="6" t="s">
        <v>145</v>
      </c>
      <c r="M47" s="7" t="s">
        <v>442</v>
      </c>
    </row>
    <row r="48" spans="1:13" ht="187.2" x14ac:dyDescent="0.3">
      <c r="A48" s="8" t="s">
        <v>44</v>
      </c>
      <c r="B48" s="8" t="s">
        <v>133</v>
      </c>
      <c r="C48" s="8" t="s">
        <v>134</v>
      </c>
      <c r="D48" s="8" t="s">
        <v>135</v>
      </c>
      <c r="E48" s="8" t="s">
        <v>136</v>
      </c>
      <c r="F48" s="8" t="s">
        <v>137</v>
      </c>
      <c r="G48" s="8" t="s">
        <v>145</v>
      </c>
      <c r="H48" s="8" t="s">
        <v>145</v>
      </c>
      <c r="I48" s="8" t="s">
        <v>145</v>
      </c>
      <c r="J48" s="8" t="s">
        <v>145</v>
      </c>
      <c r="K48" s="8" t="s">
        <v>145</v>
      </c>
      <c r="L48" s="8" t="s">
        <v>145</v>
      </c>
      <c r="M48" s="9" t="s">
        <v>136</v>
      </c>
    </row>
    <row r="49" spans="1:13" ht="273.60000000000002" x14ac:dyDescent="0.3">
      <c r="A49" s="6" t="s">
        <v>44</v>
      </c>
      <c r="B49" s="6" t="s">
        <v>735</v>
      </c>
      <c r="C49" s="6" t="s">
        <v>346</v>
      </c>
      <c r="D49" s="6" t="s">
        <v>138</v>
      </c>
      <c r="E49" s="6" t="s">
        <v>139</v>
      </c>
      <c r="F49" s="6" t="s">
        <v>720</v>
      </c>
      <c r="G49" s="6" t="s">
        <v>145</v>
      </c>
      <c r="H49" s="6" t="s">
        <v>145</v>
      </c>
      <c r="I49" s="6" t="s">
        <v>145</v>
      </c>
      <c r="J49" s="6" t="s">
        <v>145</v>
      </c>
      <c r="K49" s="6" t="s">
        <v>145</v>
      </c>
      <c r="L49" s="6" t="s">
        <v>145</v>
      </c>
      <c r="M49" s="7" t="s">
        <v>138</v>
      </c>
    </row>
    <row r="50" spans="1:13" ht="216" x14ac:dyDescent="0.3">
      <c r="A50" s="8" t="s">
        <v>44</v>
      </c>
      <c r="B50" s="8" t="s">
        <v>140</v>
      </c>
      <c r="C50" s="8" t="s">
        <v>141</v>
      </c>
      <c r="D50" s="8" t="s">
        <v>262</v>
      </c>
      <c r="E50" s="8" t="s">
        <v>260</v>
      </c>
      <c r="F50" s="8" t="s">
        <v>142</v>
      </c>
      <c r="G50" s="8" t="s">
        <v>145</v>
      </c>
      <c r="H50" s="8" t="s">
        <v>145</v>
      </c>
      <c r="I50" s="8" t="s">
        <v>145</v>
      </c>
      <c r="J50" s="8" t="s">
        <v>145</v>
      </c>
      <c r="K50" s="8" t="s">
        <v>145</v>
      </c>
      <c r="L50" s="8" t="s">
        <v>145</v>
      </c>
      <c r="M50" s="9" t="s">
        <v>260</v>
      </c>
    </row>
    <row r="51" spans="1:13" ht="201.6" x14ac:dyDescent="0.3">
      <c r="A51" s="6" t="s">
        <v>44</v>
      </c>
      <c r="B51" s="6" t="s">
        <v>679</v>
      </c>
      <c r="C51" s="6" t="s">
        <v>446</v>
      </c>
      <c r="D51" s="6" t="s">
        <v>447</v>
      </c>
      <c r="E51" s="6" t="s">
        <v>259</v>
      </c>
      <c r="F51" s="6" t="s">
        <v>448</v>
      </c>
      <c r="G51" s="6" t="s">
        <v>145</v>
      </c>
      <c r="H51" s="6" t="s">
        <v>145</v>
      </c>
      <c r="I51" s="6" t="s">
        <v>145</v>
      </c>
      <c r="J51" s="6" t="s">
        <v>145</v>
      </c>
      <c r="K51" s="6" t="s">
        <v>145</v>
      </c>
      <c r="L51" s="6" t="s">
        <v>145</v>
      </c>
      <c r="M51" s="7" t="s">
        <v>259</v>
      </c>
    </row>
    <row r="52" spans="1:13" ht="201.6" x14ac:dyDescent="0.3">
      <c r="A52" s="8" t="s">
        <v>53</v>
      </c>
      <c r="B52" s="8" t="s">
        <v>610</v>
      </c>
      <c r="C52" s="8" t="s">
        <v>607</v>
      </c>
      <c r="D52" s="8" t="s">
        <v>608</v>
      </c>
      <c r="E52" s="8" t="s">
        <v>609</v>
      </c>
      <c r="F52" s="8" t="s">
        <v>449</v>
      </c>
      <c r="G52" s="8" t="s">
        <v>145</v>
      </c>
      <c r="H52" s="8" t="s">
        <v>145</v>
      </c>
      <c r="I52" s="8" t="s">
        <v>145</v>
      </c>
      <c r="J52" s="8" t="s">
        <v>145</v>
      </c>
      <c r="K52" s="8" t="s">
        <v>145</v>
      </c>
      <c r="L52" s="8" t="s">
        <v>145</v>
      </c>
      <c r="M52" s="9" t="s">
        <v>609</v>
      </c>
    </row>
    <row r="53" spans="1:13" ht="187.2" x14ac:dyDescent="0.3">
      <c r="A53" s="6" t="s">
        <v>53</v>
      </c>
      <c r="B53" s="6" t="s">
        <v>611</v>
      </c>
      <c r="C53" s="6" t="s">
        <v>612</v>
      </c>
      <c r="D53" s="6" t="s">
        <v>613</v>
      </c>
      <c r="E53" s="6" t="s">
        <v>614</v>
      </c>
      <c r="F53" s="6" t="s">
        <v>450</v>
      </c>
      <c r="G53" s="6" t="s">
        <v>145</v>
      </c>
      <c r="H53" s="6" t="s">
        <v>145</v>
      </c>
      <c r="I53" s="6" t="s">
        <v>145</v>
      </c>
      <c r="J53" s="6" t="s">
        <v>145</v>
      </c>
      <c r="K53" s="6" t="s">
        <v>145</v>
      </c>
      <c r="L53" s="6" t="s">
        <v>145</v>
      </c>
      <c r="M53" s="7" t="s">
        <v>615</v>
      </c>
    </row>
    <row r="54" spans="1:13" ht="201.6" x14ac:dyDescent="0.3">
      <c r="A54" s="8" t="s">
        <v>53</v>
      </c>
      <c r="B54" s="8" t="s">
        <v>143</v>
      </c>
      <c r="C54" s="8" t="s">
        <v>616</v>
      </c>
      <c r="D54" s="8" t="s">
        <v>617</v>
      </c>
      <c r="E54" s="8" t="s">
        <v>261</v>
      </c>
      <c r="F54" s="8" t="s">
        <v>451</v>
      </c>
      <c r="G54" s="8" t="s">
        <v>145</v>
      </c>
      <c r="H54" s="8" t="s">
        <v>145</v>
      </c>
      <c r="I54" s="8" t="s">
        <v>145</v>
      </c>
      <c r="J54" s="8" t="s">
        <v>145</v>
      </c>
      <c r="K54" s="8" t="s">
        <v>145</v>
      </c>
      <c r="L54" s="8" t="s">
        <v>145</v>
      </c>
      <c r="M54" s="9" t="s">
        <v>261</v>
      </c>
    </row>
    <row r="55" spans="1:13" ht="230.4" x14ac:dyDescent="0.3">
      <c r="A55" s="6" t="s">
        <v>53</v>
      </c>
      <c r="B55" s="6" t="s">
        <v>144</v>
      </c>
      <c r="C55" s="6" t="s">
        <v>450</v>
      </c>
      <c r="D55" s="6" t="s">
        <v>452</v>
      </c>
      <c r="E55" s="6" t="s">
        <v>41</v>
      </c>
      <c r="F55" s="6" t="s">
        <v>453</v>
      </c>
      <c r="G55" s="6" t="s">
        <v>145</v>
      </c>
      <c r="H55" s="6" t="s">
        <v>145</v>
      </c>
      <c r="I55" s="6" t="s">
        <v>145</v>
      </c>
      <c r="J55" s="6" t="s">
        <v>145</v>
      </c>
      <c r="K55" s="6" t="s">
        <v>145</v>
      </c>
      <c r="L55" s="6" t="s">
        <v>145</v>
      </c>
      <c r="M55" s="7" t="s">
        <v>450</v>
      </c>
    </row>
    <row r="56" spans="1:13" ht="129.6" x14ac:dyDescent="0.3">
      <c r="A56" s="8" t="s">
        <v>53</v>
      </c>
      <c r="B56" s="8" t="s">
        <v>618</v>
      </c>
      <c r="C56" s="8" t="s">
        <v>454</v>
      </c>
      <c r="D56" s="8" t="s">
        <v>455</v>
      </c>
      <c r="E56" s="8" t="s">
        <v>145</v>
      </c>
      <c r="F56" s="8" t="s">
        <v>145</v>
      </c>
      <c r="G56" s="8" t="s">
        <v>145</v>
      </c>
      <c r="H56" s="8" t="s">
        <v>145</v>
      </c>
      <c r="I56" s="8" t="s">
        <v>145</v>
      </c>
      <c r="J56" s="8" t="s">
        <v>145</v>
      </c>
      <c r="K56" s="8" t="s">
        <v>145</v>
      </c>
      <c r="L56" s="8" t="s">
        <v>145</v>
      </c>
      <c r="M56" s="9" t="s">
        <v>454</v>
      </c>
    </row>
    <row r="57" spans="1:13" ht="187.2" x14ac:dyDescent="0.3">
      <c r="A57" s="6" t="s">
        <v>53</v>
      </c>
      <c r="B57" s="6" t="s">
        <v>619</v>
      </c>
      <c r="C57" s="6" t="s">
        <v>456</v>
      </c>
      <c r="D57" s="6" t="s">
        <v>455</v>
      </c>
      <c r="E57" s="6" t="s">
        <v>145</v>
      </c>
      <c r="F57" s="6" t="s">
        <v>145</v>
      </c>
      <c r="G57" s="6" t="s">
        <v>145</v>
      </c>
      <c r="H57" s="6" t="s">
        <v>145</v>
      </c>
      <c r="I57" s="6" t="s">
        <v>145</v>
      </c>
      <c r="J57" s="6" t="s">
        <v>145</v>
      </c>
      <c r="K57" s="6" t="s">
        <v>145</v>
      </c>
      <c r="L57" s="6" t="s">
        <v>145</v>
      </c>
      <c r="M57" s="7" t="s">
        <v>454</v>
      </c>
    </row>
    <row r="58" spans="1:13" ht="187.2" x14ac:dyDescent="0.3">
      <c r="A58" s="8" t="s">
        <v>53</v>
      </c>
      <c r="B58" s="8" t="s">
        <v>620</v>
      </c>
      <c r="C58" s="8" t="s">
        <v>456</v>
      </c>
      <c r="D58" s="8" t="s">
        <v>455</v>
      </c>
      <c r="E58" s="8" t="s">
        <v>145</v>
      </c>
      <c r="F58" s="8" t="s">
        <v>145</v>
      </c>
      <c r="G58" s="8" t="s">
        <v>145</v>
      </c>
      <c r="H58" s="8" t="s">
        <v>145</v>
      </c>
      <c r="I58" s="8" t="s">
        <v>145</v>
      </c>
      <c r="J58" s="8" t="s">
        <v>145</v>
      </c>
      <c r="K58" s="8" t="s">
        <v>145</v>
      </c>
      <c r="L58" s="8" t="s">
        <v>145</v>
      </c>
      <c r="M58" s="9" t="s">
        <v>455</v>
      </c>
    </row>
    <row r="59" spans="1:13" ht="259.2" x14ac:dyDescent="0.3">
      <c r="A59" s="6" t="s">
        <v>53</v>
      </c>
      <c r="B59" s="6" t="s">
        <v>721</v>
      </c>
      <c r="C59" s="6" t="s">
        <v>456</v>
      </c>
      <c r="D59" s="6" t="s">
        <v>455</v>
      </c>
      <c r="E59" s="6" t="s">
        <v>145</v>
      </c>
      <c r="F59" s="6" t="s">
        <v>145</v>
      </c>
      <c r="G59" s="6" t="s">
        <v>145</v>
      </c>
      <c r="H59" s="6" t="s">
        <v>145</v>
      </c>
      <c r="I59" s="6" t="s">
        <v>145</v>
      </c>
      <c r="J59" s="6" t="s">
        <v>145</v>
      </c>
      <c r="K59" s="6" t="s">
        <v>145</v>
      </c>
      <c r="L59" s="6" t="s">
        <v>145</v>
      </c>
      <c r="M59" s="7" t="s">
        <v>454</v>
      </c>
    </row>
    <row r="60" spans="1:13" ht="172.8" x14ac:dyDescent="0.3">
      <c r="A60" s="8" t="s">
        <v>53</v>
      </c>
      <c r="B60" s="8" t="s">
        <v>347</v>
      </c>
      <c r="C60" s="8" t="s">
        <v>621</v>
      </c>
      <c r="D60" s="8" t="s">
        <v>457</v>
      </c>
      <c r="E60" s="8" t="s">
        <v>458</v>
      </c>
      <c r="F60" s="8" t="s">
        <v>348</v>
      </c>
      <c r="G60" s="8" t="s">
        <v>145</v>
      </c>
      <c r="H60" s="8" t="s">
        <v>145</v>
      </c>
      <c r="I60" s="8" t="s">
        <v>145</v>
      </c>
      <c r="J60" s="8" t="s">
        <v>145</v>
      </c>
      <c r="K60" s="8" t="s">
        <v>145</v>
      </c>
      <c r="L60" s="8" t="s">
        <v>145</v>
      </c>
      <c r="M60" s="9" t="s">
        <v>348</v>
      </c>
    </row>
    <row r="61" spans="1:13" ht="172.8" x14ac:dyDescent="0.3">
      <c r="A61" s="6" t="s">
        <v>53</v>
      </c>
      <c r="B61" s="6" t="s">
        <v>349</v>
      </c>
      <c r="C61" s="6" t="s">
        <v>459</v>
      </c>
      <c r="D61" s="6" t="s">
        <v>460</v>
      </c>
      <c r="E61" s="6" t="s">
        <v>622</v>
      </c>
      <c r="F61" s="6" t="s">
        <v>461</v>
      </c>
      <c r="G61" s="6" t="s">
        <v>145</v>
      </c>
      <c r="H61" s="6" t="s">
        <v>145</v>
      </c>
      <c r="I61" s="6" t="s">
        <v>145</v>
      </c>
      <c r="J61" s="6" t="s">
        <v>145</v>
      </c>
      <c r="K61" s="6" t="s">
        <v>145</v>
      </c>
      <c r="L61" s="6" t="s">
        <v>145</v>
      </c>
      <c r="M61" s="7" t="s">
        <v>460</v>
      </c>
    </row>
    <row r="62" spans="1:13" ht="216" x14ac:dyDescent="0.3">
      <c r="A62" s="8" t="s">
        <v>53</v>
      </c>
      <c r="B62" s="8" t="s">
        <v>625</v>
      </c>
      <c r="C62" s="8" t="s">
        <v>623</v>
      </c>
      <c r="D62" s="8" t="s">
        <v>624</v>
      </c>
      <c r="E62" s="8" t="s">
        <v>463</v>
      </c>
      <c r="F62" s="8" t="s">
        <v>462</v>
      </c>
      <c r="G62" s="8" t="s">
        <v>145</v>
      </c>
      <c r="H62" s="8" t="s">
        <v>145</v>
      </c>
      <c r="I62" s="8" t="s">
        <v>145</v>
      </c>
      <c r="J62" s="8" t="s">
        <v>145</v>
      </c>
      <c r="K62" s="8" t="s">
        <v>145</v>
      </c>
      <c r="L62" s="8" t="s">
        <v>145</v>
      </c>
      <c r="M62" s="9" t="s">
        <v>463</v>
      </c>
    </row>
    <row r="63" spans="1:13" ht="172.8" x14ac:dyDescent="0.3">
      <c r="A63" s="6" t="s">
        <v>64</v>
      </c>
      <c r="B63" s="6" t="s">
        <v>350</v>
      </c>
      <c r="C63" s="6" t="s">
        <v>575</v>
      </c>
      <c r="D63" s="6" t="s">
        <v>465</v>
      </c>
      <c r="E63" s="6" t="s">
        <v>576</v>
      </c>
      <c r="F63" s="6" t="s">
        <v>464</v>
      </c>
      <c r="G63" s="6" t="s">
        <v>145</v>
      </c>
      <c r="H63" s="6" t="s">
        <v>145</v>
      </c>
      <c r="I63" s="6" t="s">
        <v>145</v>
      </c>
      <c r="J63" s="6" t="s">
        <v>145</v>
      </c>
      <c r="K63" s="6" t="s">
        <v>145</v>
      </c>
      <c r="L63" s="6" t="s">
        <v>145</v>
      </c>
      <c r="M63" s="7" t="s">
        <v>465</v>
      </c>
    </row>
    <row r="64" spans="1:13" ht="187.2" x14ac:dyDescent="0.3">
      <c r="A64" s="8" t="s">
        <v>64</v>
      </c>
      <c r="B64" s="8" t="s">
        <v>146</v>
      </c>
      <c r="C64" s="8" t="s">
        <v>577</v>
      </c>
      <c r="D64" s="8" t="s">
        <v>578</v>
      </c>
      <c r="E64" s="8" t="s">
        <v>580</v>
      </c>
      <c r="F64" s="8" t="s">
        <v>579</v>
      </c>
      <c r="G64" s="8" t="s">
        <v>145</v>
      </c>
      <c r="H64" s="8" t="s">
        <v>145</v>
      </c>
      <c r="I64" s="8" t="s">
        <v>145</v>
      </c>
      <c r="J64" s="8" t="s">
        <v>145</v>
      </c>
      <c r="K64" s="8" t="s">
        <v>145</v>
      </c>
      <c r="L64" s="8" t="s">
        <v>145</v>
      </c>
      <c r="M64" s="9" t="s">
        <v>580</v>
      </c>
    </row>
    <row r="65" spans="1:13" ht="360" x14ac:dyDescent="0.3">
      <c r="A65" s="6" t="s">
        <v>64</v>
      </c>
      <c r="B65" s="6" t="s">
        <v>581</v>
      </c>
      <c r="C65" s="6" t="s">
        <v>582</v>
      </c>
      <c r="D65" s="6" t="s">
        <v>583</v>
      </c>
      <c r="E65" s="6" t="s">
        <v>584</v>
      </c>
      <c r="F65" s="6" t="s">
        <v>466</v>
      </c>
      <c r="G65" s="6" t="s">
        <v>145</v>
      </c>
      <c r="H65" s="6" t="s">
        <v>145</v>
      </c>
      <c r="I65" s="6" t="s">
        <v>145</v>
      </c>
      <c r="J65" s="6" t="s">
        <v>145</v>
      </c>
      <c r="K65" s="6" t="s">
        <v>145</v>
      </c>
      <c r="L65" s="6" t="s">
        <v>145</v>
      </c>
      <c r="M65" s="7" t="s">
        <v>467</v>
      </c>
    </row>
    <row r="66" spans="1:13" ht="360" x14ac:dyDescent="0.3">
      <c r="A66" s="8" t="s">
        <v>64</v>
      </c>
      <c r="B66" s="8" t="s">
        <v>587</v>
      </c>
      <c r="C66" s="8" t="s">
        <v>585</v>
      </c>
      <c r="D66" s="8" t="s">
        <v>469</v>
      </c>
      <c r="E66" s="8" t="s">
        <v>586</v>
      </c>
      <c r="F66" s="8" t="s">
        <v>468</v>
      </c>
      <c r="G66" s="8" t="s">
        <v>145</v>
      </c>
      <c r="H66" s="8" t="s">
        <v>145</v>
      </c>
      <c r="I66" s="8" t="s">
        <v>145</v>
      </c>
      <c r="J66" s="8" t="s">
        <v>145</v>
      </c>
      <c r="K66" s="8" t="s">
        <v>145</v>
      </c>
      <c r="L66" s="8" t="s">
        <v>145</v>
      </c>
      <c r="M66" s="9" t="s">
        <v>469</v>
      </c>
    </row>
    <row r="67" spans="1:13" ht="187.2" x14ac:dyDescent="0.3">
      <c r="A67" s="6" t="s">
        <v>64</v>
      </c>
      <c r="B67" s="6" t="s">
        <v>588</v>
      </c>
      <c r="C67" s="6" t="s">
        <v>456</v>
      </c>
      <c r="D67" s="6" t="s">
        <v>455</v>
      </c>
      <c r="E67" s="6" t="s">
        <v>145</v>
      </c>
      <c r="F67" s="6" t="s">
        <v>145</v>
      </c>
      <c r="G67" s="6" t="s">
        <v>145</v>
      </c>
      <c r="H67" s="6" t="s">
        <v>145</v>
      </c>
      <c r="I67" s="6" t="s">
        <v>145</v>
      </c>
      <c r="J67" s="6" t="s">
        <v>145</v>
      </c>
      <c r="K67" s="6" t="s">
        <v>145</v>
      </c>
      <c r="L67" s="6" t="s">
        <v>145</v>
      </c>
      <c r="M67" s="7" t="s">
        <v>455</v>
      </c>
    </row>
    <row r="68" spans="1:13" ht="187.2" x14ac:dyDescent="0.3">
      <c r="A68" s="8" t="s">
        <v>64</v>
      </c>
      <c r="B68" s="8" t="s">
        <v>589</v>
      </c>
      <c r="C68" s="8" t="s">
        <v>456</v>
      </c>
      <c r="D68" s="8" t="s">
        <v>455</v>
      </c>
      <c r="E68" s="8" t="s">
        <v>145</v>
      </c>
      <c r="F68" s="8" t="s">
        <v>145</v>
      </c>
      <c r="G68" s="8" t="s">
        <v>145</v>
      </c>
      <c r="H68" s="8" t="s">
        <v>145</v>
      </c>
      <c r="I68" s="8" t="s">
        <v>145</v>
      </c>
      <c r="J68" s="8" t="s">
        <v>145</v>
      </c>
      <c r="K68" s="8" t="s">
        <v>145</v>
      </c>
      <c r="L68" s="8" t="s">
        <v>145</v>
      </c>
      <c r="M68" s="9" t="s">
        <v>454</v>
      </c>
    </row>
    <row r="69" spans="1:13" ht="201.6" x14ac:dyDescent="0.3">
      <c r="A69" s="6" t="s">
        <v>64</v>
      </c>
      <c r="B69" s="6" t="s">
        <v>351</v>
      </c>
      <c r="C69" s="6" t="s">
        <v>593</v>
      </c>
      <c r="D69" s="6" t="s">
        <v>590</v>
      </c>
      <c r="E69" s="6" t="s">
        <v>472</v>
      </c>
      <c r="F69" s="6" t="s">
        <v>591</v>
      </c>
      <c r="G69" s="6" t="s">
        <v>145</v>
      </c>
      <c r="H69" s="6" t="s">
        <v>145</v>
      </c>
      <c r="I69" s="6" t="s">
        <v>145</v>
      </c>
      <c r="J69" s="6" t="s">
        <v>145</v>
      </c>
      <c r="K69" s="6" t="s">
        <v>145</v>
      </c>
      <c r="L69" s="6" t="s">
        <v>145</v>
      </c>
      <c r="M69" s="7" t="s">
        <v>593</v>
      </c>
    </row>
    <row r="70" spans="1:13" ht="216" x14ac:dyDescent="0.3">
      <c r="A70" s="8" t="s">
        <v>64</v>
      </c>
      <c r="B70" s="8" t="s">
        <v>352</v>
      </c>
      <c r="C70" s="8" t="s">
        <v>594</v>
      </c>
      <c r="D70" s="8" t="s">
        <v>470</v>
      </c>
      <c r="E70" s="8" t="s">
        <v>471</v>
      </c>
      <c r="F70" s="8" t="s">
        <v>591</v>
      </c>
      <c r="G70" s="8" t="s">
        <v>145</v>
      </c>
      <c r="H70" s="8" t="s">
        <v>145</v>
      </c>
      <c r="I70" s="8" t="s">
        <v>145</v>
      </c>
      <c r="J70" s="8" t="s">
        <v>145</v>
      </c>
      <c r="K70" s="8" t="s">
        <v>145</v>
      </c>
      <c r="L70" s="8" t="s">
        <v>145</v>
      </c>
      <c r="M70" s="9" t="s">
        <v>590</v>
      </c>
    </row>
    <row r="71" spans="1:13" ht="216" x14ac:dyDescent="0.3">
      <c r="A71" s="6" t="s">
        <v>64</v>
      </c>
      <c r="B71" s="6" t="s">
        <v>353</v>
      </c>
      <c r="C71" s="6" t="s">
        <v>593</v>
      </c>
      <c r="D71" s="6" t="s">
        <v>470</v>
      </c>
      <c r="E71" s="6" t="s">
        <v>471</v>
      </c>
      <c r="F71" s="6" t="s">
        <v>591</v>
      </c>
      <c r="G71" s="6" t="s">
        <v>145</v>
      </c>
      <c r="H71" s="6" t="s">
        <v>145</v>
      </c>
      <c r="I71" s="6" t="s">
        <v>145</v>
      </c>
      <c r="J71" s="6" t="s">
        <v>145</v>
      </c>
      <c r="K71" s="6" t="s">
        <v>145</v>
      </c>
      <c r="L71" s="6" t="s">
        <v>145</v>
      </c>
      <c r="M71" s="7" t="s">
        <v>592</v>
      </c>
    </row>
    <row r="72" spans="1:13" ht="201.6" x14ac:dyDescent="0.3">
      <c r="A72" s="8" t="s">
        <v>64</v>
      </c>
      <c r="B72" s="8" t="s">
        <v>354</v>
      </c>
      <c r="C72" s="8" t="s">
        <v>593</v>
      </c>
      <c r="D72" s="8" t="s">
        <v>590</v>
      </c>
      <c r="E72" s="8" t="s">
        <v>472</v>
      </c>
      <c r="F72" s="8" t="s">
        <v>591</v>
      </c>
      <c r="G72" s="8" t="s">
        <v>145</v>
      </c>
      <c r="H72" s="8" t="s">
        <v>145</v>
      </c>
      <c r="I72" s="8" t="s">
        <v>145</v>
      </c>
      <c r="J72" s="8" t="s">
        <v>145</v>
      </c>
      <c r="K72" s="8" t="s">
        <v>145</v>
      </c>
      <c r="L72" s="8" t="s">
        <v>145</v>
      </c>
      <c r="M72" s="9" t="s">
        <v>591</v>
      </c>
    </row>
    <row r="73" spans="1:13" ht="331.2" x14ac:dyDescent="0.3">
      <c r="A73" s="6" t="s">
        <v>64</v>
      </c>
      <c r="B73" s="6" t="s">
        <v>596</v>
      </c>
      <c r="C73" s="6" t="s">
        <v>595</v>
      </c>
      <c r="D73" s="6" t="s">
        <v>455</v>
      </c>
      <c r="E73" s="6" t="s">
        <v>145</v>
      </c>
      <c r="F73" s="6" t="s">
        <v>145</v>
      </c>
      <c r="G73" s="6" t="s">
        <v>145</v>
      </c>
      <c r="H73" s="6" t="s">
        <v>145</v>
      </c>
      <c r="I73" s="6" t="s">
        <v>145</v>
      </c>
      <c r="J73" s="6" t="s">
        <v>145</v>
      </c>
      <c r="K73" s="6" t="s">
        <v>145</v>
      </c>
      <c r="L73" s="6" t="s">
        <v>145</v>
      </c>
      <c r="M73" s="7" t="s">
        <v>455</v>
      </c>
    </row>
    <row r="74" spans="1:13" ht="230.4" x14ac:dyDescent="0.3">
      <c r="A74" s="8" t="s">
        <v>64</v>
      </c>
      <c r="B74" s="8" t="s">
        <v>355</v>
      </c>
      <c r="C74" s="8" t="s">
        <v>456</v>
      </c>
      <c r="D74" s="8" t="s">
        <v>455</v>
      </c>
      <c r="E74" s="8" t="s">
        <v>145</v>
      </c>
      <c r="F74" s="8" t="s">
        <v>145</v>
      </c>
      <c r="G74" s="8" t="s">
        <v>145</v>
      </c>
      <c r="H74" s="8" t="s">
        <v>145</v>
      </c>
      <c r="I74" s="8" t="s">
        <v>145</v>
      </c>
      <c r="J74" s="8" t="s">
        <v>145</v>
      </c>
      <c r="K74" s="8" t="s">
        <v>145</v>
      </c>
      <c r="L74" s="8" t="s">
        <v>145</v>
      </c>
      <c r="M74" s="9" t="s">
        <v>454</v>
      </c>
    </row>
    <row r="75" spans="1:13" ht="316.8" x14ac:dyDescent="0.3">
      <c r="A75" s="6" t="s">
        <v>64</v>
      </c>
      <c r="B75" s="6" t="s">
        <v>597</v>
      </c>
      <c r="C75" s="6" t="s">
        <v>598</v>
      </c>
      <c r="D75" s="6" t="s">
        <v>599</v>
      </c>
      <c r="E75" s="6" t="s">
        <v>474</v>
      </c>
      <c r="F75" s="6" t="s">
        <v>473</v>
      </c>
      <c r="G75" s="6" t="s">
        <v>145</v>
      </c>
      <c r="H75" s="6" t="s">
        <v>145</v>
      </c>
      <c r="I75" s="6" t="s">
        <v>145</v>
      </c>
      <c r="J75" s="6" t="s">
        <v>145</v>
      </c>
      <c r="K75" s="6" t="s">
        <v>145</v>
      </c>
      <c r="L75" s="6" t="s">
        <v>145</v>
      </c>
      <c r="M75" s="7" t="s">
        <v>474</v>
      </c>
    </row>
    <row r="76" spans="1:13" ht="216" x14ac:dyDescent="0.3">
      <c r="A76" s="8" t="s">
        <v>64</v>
      </c>
      <c r="B76" s="8" t="s">
        <v>600</v>
      </c>
      <c r="C76" s="8" t="s">
        <v>601</v>
      </c>
      <c r="D76" s="8" t="s">
        <v>602</v>
      </c>
      <c r="E76" s="8" t="s">
        <v>476</v>
      </c>
      <c r="F76" s="8" t="s">
        <v>475</v>
      </c>
      <c r="G76" s="8" t="s">
        <v>145</v>
      </c>
      <c r="H76" s="8" t="s">
        <v>145</v>
      </c>
      <c r="I76" s="8" t="s">
        <v>145</v>
      </c>
      <c r="J76" s="8" t="s">
        <v>145</v>
      </c>
      <c r="K76" s="8" t="s">
        <v>145</v>
      </c>
      <c r="L76" s="8" t="s">
        <v>145</v>
      </c>
      <c r="M76" s="9" t="s">
        <v>476</v>
      </c>
    </row>
    <row r="77" spans="1:13" ht="273.60000000000002" x14ac:dyDescent="0.3">
      <c r="A77" s="6" t="s">
        <v>89</v>
      </c>
      <c r="B77" s="6" t="s">
        <v>680</v>
      </c>
      <c r="C77" s="6" t="s">
        <v>477</v>
      </c>
      <c r="D77" s="6" t="s">
        <v>479</v>
      </c>
      <c r="E77" s="6" t="s">
        <v>634</v>
      </c>
      <c r="F77" s="6" t="s">
        <v>478</v>
      </c>
      <c r="G77" s="6" t="s">
        <v>145</v>
      </c>
      <c r="H77" s="6" t="s">
        <v>145</v>
      </c>
      <c r="I77" s="6" t="s">
        <v>145</v>
      </c>
      <c r="J77" s="6" t="s">
        <v>145</v>
      </c>
      <c r="K77" s="6" t="s">
        <v>145</v>
      </c>
      <c r="L77" s="6" t="s">
        <v>145</v>
      </c>
      <c r="M77" s="7" t="s">
        <v>479</v>
      </c>
    </row>
    <row r="78" spans="1:13" ht="331.2" x14ac:dyDescent="0.3">
      <c r="A78" s="8" t="s">
        <v>89</v>
      </c>
      <c r="B78" s="8" t="s">
        <v>681</v>
      </c>
      <c r="C78" s="8" t="s">
        <v>635</v>
      </c>
      <c r="D78" s="8" t="s">
        <v>636</v>
      </c>
      <c r="E78" s="8" t="s">
        <v>481</v>
      </c>
      <c r="F78" s="8" t="s">
        <v>480</v>
      </c>
      <c r="G78" s="8" t="s">
        <v>145</v>
      </c>
      <c r="H78" s="8" t="s">
        <v>145</v>
      </c>
      <c r="I78" s="8" t="s">
        <v>145</v>
      </c>
      <c r="J78" s="8" t="s">
        <v>145</v>
      </c>
      <c r="K78" s="8" t="s">
        <v>145</v>
      </c>
      <c r="L78" s="8" t="s">
        <v>145</v>
      </c>
      <c r="M78" s="9" t="s">
        <v>481</v>
      </c>
    </row>
    <row r="79" spans="1:13" ht="259.2" x14ac:dyDescent="0.3">
      <c r="A79" s="6" t="s">
        <v>89</v>
      </c>
      <c r="B79" s="6" t="s">
        <v>258</v>
      </c>
      <c r="C79" s="6" t="s">
        <v>454</v>
      </c>
      <c r="D79" s="6" t="s">
        <v>455</v>
      </c>
      <c r="E79" s="6" t="s">
        <v>145</v>
      </c>
      <c r="F79" s="6" t="s">
        <v>145</v>
      </c>
      <c r="G79" s="6" t="s">
        <v>145</v>
      </c>
      <c r="H79" s="6" t="s">
        <v>145</v>
      </c>
      <c r="I79" s="6" t="s">
        <v>145</v>
      </c>
      <c r="J79" s="6" t="s">
        <v>145</v>
      </c>
      <c r="K79" s="6" t="s">
        <v>145</v>
      </c>
      <c r="L79" s="6" t="s">
        <v>145</v>
      </c>
      <c r="M79" s="7" t="s">
        <v>454</v>
      </c>
    </row>
    <row r="80" spans="1:13" ht="244.8" x14ac:dyDescent="0.3">
      <c r="A80" s="8" t="s">
        <v>89</v>
      </c>
      <c r="B80" s="8" t="s">
        <v>257</v>
      </c>
      <c r="C80" s="8" t="s">
        <v>454</v>
      </c>
      <c r="D80" s="8" t="s">
        <v>455</v>
      </c>
      <c r="E80" s="8" t="s">
        <v>145</v>
      </c>
      <c r="F80" s="8" t="s">
        <v>145</v>
      </c>
      <c r="G80" s="8" t="s">
        <v>145</v>
      </c>
      <c r="H80" s="8" t="s">
        <v>145</v>
      </c>
      <c r="I80" s="8" t="s">
        <v>145</v>
      </c>
      <c r="J80" s="8" t="s">
        <v>145</v>
      </c>
      <c r="K80" s="8" t="s">
        <v>145</v>
      </c>
      <c r="L80" s="8" t="s">
        <v>145</v>
      </c>
      <c r="M80" s="9" t="s">
        <v>454</v>
      </c>
    </row>
    <row r="81" spans="1:13" ht="360" x14ac:dyDescent="0.3">
      <c r="A81" s="6" t="s">
        <v>89</v>
      </c>
      <c r="B81" s="6" t="s">
        <v>682</v>
      </c>
      <c r="C81" s="6" t="s">
        <v>637</v>
      </c>
      <c r="D81" s="6" t="s">
        <v>638</v>
      </c>
      <c r="E81" s="6" t="s">
        <v>483</v>
      </c>
      <c r="F81" s="6" t="s">
        <v>482</v>
      </c>
      <c r="G81" s="6" t="s">
        <v>145</v>
      </c>
      <c r="H81" s="6" t="s">
        <v>145</v>
      </c>
      <c r="I81" s="6" t="s">
        <v>145</v>
      </c>
      <c r="J81" s="6" t="s">
        <v>145</v>
      </c>
      <c r="K81" s="6" t="s">
        <v>145</v>
      </c>
      <c r="L81" s="6" t="s">
        <v>145</v>
      </c>
      <c r="M81" s="7" t="s">
        <v>483</v>
      </c>
    </row>
    <row r="82" spans="1:13" ht="302.39999999999998" x14ac:dyDescent="0.3">
      <c r="A82" s="8" t="s">
        <v>89</v>
      </c>
      <c r="B82" s="8" t="s">
        <v>683</v>
      </c>
      <c r="C82" s="8" t="s">
        <v>639</v>
      </c>
      <c r="D82" s="8" t="s">
        <v>640</v>
      </c>
      <c r="E82" s="8" t="s">
        <v>485</v>
      </c>
      <c r="F82" s="8" t="s">
        <v>484</v>
      </c>
      <c r="G82" s="8" t="s">
        <v>145</v>
      </c>
      <c r="H82" s="8" t="s">
        <v>145</v>
      </c>
      <c r="I82" s="8" t="s">
        <v>145</v>
      </c>
      <c r="J82" s="8" t="s">
        <v>145</v>
      </c>
      <c r="K82" s="8" t="s">
        <v>145</v>
      </c>
      <c r="L82" s="8" t="s">
        <v>145</v>
      </c>
      <c r="M82" s="9" t="s">
        <v>485</v>
      </c>
    </row>
    <row r="83" spans="1:13" ht="288" x14ac:dyDescent="0.3">
      <c r="A83" s="6" t="s">
        <v>89</v>
      </c>
      <c r="B83" s="6" t="s">
        <v>684</v>
      </c>
      <c r="C83" s="6" t="s">
        <v>642</v>
      </c>
      <c r="D83" s="6" t="s">
        <v>643</v>
      </c>
      <c r="E83" s="6" t="s">
        <v>487</v>
      </c>
      <c r="F83" s="6" t="s">
        <v>486</v>
      </c>
      <c r="G83" s="6" t="s">
        <v>145</v>
      </c>
      <c r="H83" s="6" t="s">
        <v>145</v>
      </c>
      <c r="I83" s="6" t="s">
        <v>145</v>
      </c>
      <c r="J83" s="6" t="s">
        <v>145</v>
      </c>
      <c r="K83" s="6" t="s">
        <v>145</v>
      </c>
      <c r="L83" s="6" t="s">
        <v>145</v>
      </c>
      <c r="M83" s="7" t="s">
        <v>487</v>
      </c>
    </row>
    <row r="84" spans="1:13" ht="288" x14ac:dyDescent="0.3">
      <c r="A84" s="8" t="s">
        <v>89</v>
      </c>
      <c r="B84" s="8" t="s">
        <v>641</v>
      </c>
      <c r="C84" s="8" t="s">
        <v>491</v>
      </c>
      <c r="D84" s="8" t="s">
        <v>644</v>
      </c>
      <c r="E84" s="8" t="s">
        <v>489</v>
      </c>
      <c r="F84" s="8" t="s">
        <v>488</v>
      </c>
      <c r="G84" s="8" t="s">
        <v>145</v>
      </c>
      <c r="H84" s="8" t="s">
        <v>145</v>
      </c>
      <c r="I84" s="8" t="s">
        <v>145</v>
      </c>
      <c r="J84" s="8" t="s">
        <v>145</v>
      </c>
      <c r="K84" s="8" t="s">
        <v>145</v>
      </c>
      <c r="L84" s="8" t="s">
        <v>145</v>
      </c>
      <c r="M84" s="9" t="s">
        <v>489</v>
      </c>
    </row>
    <row r="85" spans="1:13" ht="374.4" x14ac:dyDescent="0.3">
      <c r="A85" s="6" t="s">
        <v>89</v>
      </c>
      <c r="B85" s="6" t="s">
        <v>685</v>
      </c>
      <c r="C85" s="6" t="s">
        <v>491</v>
      </c>
      <c r="D85" s="6" t="s">
        <v>644</v>
      </c>
      <c r="E85" s="6" t="s">
        <v>488</v>
      </c>
      <c r="F85" s="6" t="s">
        <v>489</v>
      </c>
      <c r="G85" s="6" t="s">
        <v>145</v>
      </c>
      <c r="H85" s="6" t="s">
        <v>145</v>
      </c>
      <c r="I85" s="6" t="s">
        <v>145</v>
      </c>
      <c r="J85" s="6" t="s">
        <v>145</v>
      </c>
      <c r="K85" s="6" t="s">
        <v>145</v>
      </c>
      <c r="L85" s="6" t="s">
        <v>145</v>
      </c>
      <c r="M85" s="7" t="s">
        <v>488</v>
      </c>
    </row>
    <row r="86" spans="1:13" ht="259.2" x14ac:dyDescent="0.3">
      <c r="A86" s="8" t="s">
        <v>89</v>
      </c>
      <c r="B86" s="8" t="s">
        <v>686</v>
      </c>
      <c r="C86" s="8" t="s">
        <v>644</v>
      </c>
      <c r="D86" s="8" t="s">
        <v>489</v>
      </c>
      <c r="E86" s="8" t="s">
        <v>491</v>
      </c>
      <c r="F86" s="8" t="s">
        <v>490</v>
      </c>
      <c r="G86" s="8" t="s">
        <v>145</v>
      </c>
      <c r="H86" s="8" t="s">
        <v>145</v>
      </c>
      <c r="I86" s="8" t="s">
        <v>145</v>
      </c>
      <c r="J86" s="8" t="s">
        <v>145</v>
      </c>
      <c r="K86" s="8" t="s">
        <v>145</v>
      </c>
      <c r="L86" s="8" t="s">
        <v>145</v>
      </c>
      <c r="M86" s="9" t="s">
        <v>491</v>
      </c>
    </row>
    <row r="87" spans="1:13" ht="316.8" x14ac:dyDescent="0.3">
      <c r="A87" s="6" t="s">
        <v>147</v>
      </c>
      <c r="B87" s="6" t="s">
        <v>687</v>
      </c>
      <c r="C87" s="6" t="s">
        <v>707</v>
      </c>
      <c r="D87" s="6" t="s">
        <v>708</v>
      </c>
      <c r="E87" s="6" t="s">
        <v>493</v>
      </c>
      <c r="F87" s="6" t="s">
        <v>492</v>
      </c>
      <c r="G87" s="6" t="s">
        <v>145</v>
      </c>
      <c r="H87" s="6" t="s">
        <v>145</v>
      </c>
      <c r="I87" s="6" t="s">
        <v>145</v>
      </c>
      <c r="J87" s="6" t="s">
        <v>145</v>
      </c>
      <c r="K87" s="6" t="s">
        <v>145</v>
      </c>
      <c r="L87" s="6" t="s">
        <v>145</v>
      </c>
      <c r="M87" s="7" t="s">
        <v>493</v>
      </c>
    </row>
    <row r="88" spans="1:13" ht="201.6" x14ac:dyDescent="0.3">
      <c r="A88" s="8" t="s">
        <v>147</v>
      </c>
      <c r="B88" s="8" t="s">
        <v>148</v>
      </c>
      <c r="C88" s="8" t="s">
        <v>709</v>
      </c>
      <c r="D88" s="8" t="s">
        <v>495</v>
      </c>
      <c r="E88" s="8" t="s">
        <v>710</v>
      </c>
      <c r="F88" s="8" t="s">
        <v>494</v>
      </c>
      <c r="G88" s="8" t="s">
        <v>145</v>
      </c>
      <c r="H88" s="8" t="s">
        <v>145</v>
      </c>
      <c r="I88" s="8" t="s">
        <v>145</v>
      </c>
      <c r="J88" s="8" t="s">
        <v>145</v>
      </c>
      <c r="K88" s="8" t="s">
        <v>145</v>
      </c>
      <c r="L88" s="8" t="s">
        <v>145</v>
      </c>
      <c r="M88" s="9" t="s">
        <v>495</v>
      </c>
    </row>
    <row r="89" spans="1:13" ht="201.6" x14ac:dyDescent="0.3">
      <c r="A89" s="6" t="s">
        <v>147</v>
      </c>
      <c r="B89" s="6" t="s">
        <v>148</v>
      </c>
      <c r="C89" s="6" t="s">
        <v>496</v>
      </c>
      <c r="D89" s="6" t="s">
        <v>711</v>
      </c>
      <c r="E89" s="6" t="s">
        <v>712</v>
      </c>
      <c r="F89" s="6" t="s">
        <v>722</v>
      </c>
      <c r="G89" s="6" t="s">
        <v>145</v>
      </c>
      <c r="H89" s="6" t="s">
        <v>145</v>
      </c>
      <c r="I89" s="6" t="s">
        <v>145</v>
      </c>
      <c r="J89" s="6" t="s">
        <v>145</v>
      </c>
      <c r="K89" s="6" t="s">
        <v>145</v>
      </c>
      <c r="L89" s="6" t="s">
        <v>145</v>
      </c>
      <c r="M89" s="7" t="s">
        <v>496</v>
      </c>
    </row>
    <row r="90" spans="1:13" ht="409.6" x14ac:dyDescent="0.3">
      <c r="A90" s="8" t="s">
        <v>147</v>
      </c>
      <c r="B90" s="8" t="s">
        <v>688</v>
      </c>
      <c r="C90" s="8" t="s">
        <v>497</v>
      </c>
      <c r="D90" s="8" t="s">
        <v>498</v>
      </c>
      <c r="E90" s="8" t="s">
        <v>499</v>
      </c>
      <c r="F90" s="8" t="s">
        <v>500</v>
      </c>
      <c r="G90" s="8" t="s">
        <v>145</v>
      </c>
      <c r="H90" s="8" t="s">
        <v>145</v>
      </c>
      <c r="I90" s="8" t="s">
        <v>145</v>
      </c>
      <c r="J90" s="8" t="s">
        <v>145</v>
      </c>
      <c r="K90" s="8" t="s">
        <v>145</v>
      </c>
      <c r="L90" s="8" t="s">
        <v>145</v>
      </c>
      <c r="M90" s="9" t="s">
        <v>499</v>
      </c>
    </row>
    <row r="91" spans="1:13" ht="409.6" x14ac:dyDescent="0.3">
      <c r="A91" s="6" t="s">
        <v>147</v>
      </c>
      <c r="B91" s="6" t="s">
        <v>689</v>
      </c>
      <c r="C91" s="6" t="s">
        <v>501</v>
      </c>
      <c r="D91" s="6" t="s">
        <v>502</v>
      </c>
      <c r="E91" s="6" t="s">
        <v>503</v>
      </c>
      <c r="F91" s="6" t="s">
        <v>504</v>
      </c>
      <c r="G91" s="6" t="s">
        <v>145</v>
      </c>
      <c r="H91" s="6" t="s">
        <v>145</v>
      </c>
      <c r="I91" s="6" t="s">
        <v>145</v>
      </c>
      <c r="J91" s="6" t="s">
        <v>145</v>
      </c>
      <c r="K91" s="6" t="s">
        <v>145</v>
      </c>
      <c r="L91" s="6" t="s">
        <v>145</v>
      </c>
      <c r="M91" s="7" t="s">
        <v>503</v>
      </c>
    </row>
    <row r="92" spans="1:13" ht="409.6" x14ac:dyDescent="0.3">
      <c r="A92" s="8" t="s">
        <v>147</v>
      </c>
      <c r="B92" s="8" t="s">
        <v>690</v>
      </c>
      <c r="C92" s="8" t="s">
        <v>713</v>
      </c>
      <c r="D92" s="8" t="s">
        <v>506</v>
      </c>
      <c r="E92" s="8" t="s">
        <v>714</v>
      </c>
      <c r="F92" s="8" t="s">
        <v>505</v>
      </c>
      <c r="G92" s="8" t="s">
        <v>145</v>
      </c>
      <c r="H92" s="8" t="s">
        <v>145</v>
      </c>
      <c r="I92" s="8" t="s">
        <v>145</v>
      </c>
      <c r="J92" s="8" t="s">
        <v>145</v>
      </c>
      <c r="K92" s="8" t="s">
        <v>145</v>
      </c>
      <c r="L92" s="8" t="s">
        <v>145</v>
      </c>
      <c r="M92" s="9" t="s">
        <v>506</v>
      </c>
    </row>
    <row r="93" spans="1:13" ht="409.6" x14ac:dyDescent="0.3">
      <c r="A93" s="6" t="s">
        <v>147</v>
      </c>
      <c r="B93" s="6" t="s">
        <v>691</v>
      </c>
      <c r="C93" s="6" t="s">
        <v>715</v>
      </c>
      <c r="D93" s="6" t="s">
        <v>716</v>
      </c>
      <c r="E93" s="6" t="s">
        <v>508</v>
      </c>
      <c r="F93" s="6" t="s">
        <v>507</v>
      </c>
      <c r="G93" s="6" t="s">
        <v>145</v>
      </c>
      <c r="H93" s="6" t="s">
        <v>145</v>
      </c>
      <c r="I93" s="6" t="s">
        <v>145</v>
      </c>
      <c r="J93" s="6" t="s">
        <v>145</v>
      </c>
      <c r="K93" s="6" t="s">
        <v>145</v>
      </c>
      <c r="L93" s="6" t="s">
        <v>145</v>
      </c>
      <c r="M93" s="7" t="s">
        <v>508</v>
      </c>
    </row>
    <row r="94" spans="1:13" ht="388.8" x14ac:dyDescent="0.3">
      <c r="A94" s="8" t="s">
        <v>147</v>
      </c>
      <c r="B94" s="8" t="s">
        <v>730</v>
      </c>
      <c r="C94" s="8" t="s">
        <v>717</v>
      </c>
      <c r="D94" s="8" t="s">
        <v>718</v>
      </c>
      <c r="E94" s="8" t="s">
        <v>510</v>
      </c>
      <c r="F94" s="8" t="s">
        <v>509</v>
      </c>
      <c r="G94" s="8" t="s">
        <v>145</v>
      </c>
      <c r="H94" s="8" t="s">
        <v>145</v>
      </c>
      <c r="I94" s="8" t="s">
        <v>145</v>
      </c>
      <c r="J94" s="8" t="s">
        <v>145</v>
      </c>
      <c r="K94" s="8" t="s">
        <v>145</v>
      </c>
      <c r="L94" s="8" t="s">
        <v>145</v>
      </c>
      <c r="M94" s="9" t="s">
        <v>510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1b7f6e-d902-4681-90fc-605d21beadf9">
      <Terms xmlns="http://schemas.microsoft.com/office/infopath/2007/PartnerControls"/>
    </lcf76f155ced4ddcb4097134ff3c332f>
    <TaxCatchAll xmlns="797d79e3-0c55-4768-8341-879dff2c2bdd" xsi:nil="true"/>
    <_dlc_DocId xmlns="797d79e3-0c55-4768-8341-879dff2c2bdd">C5SKF2SKVH3A-2131741112-96741</_dlc_DocId>
    <_dlc_DocIdUrl xmlns="797d79e3-0c55-4768-8341-879dff2c2bdd">
      <Url>https://auxiell.sharepoint.com/_layouts/15/DocIdRedir.aspx?ID=C5SKF2SKVH3A-2131741112-96741</Url>
      <Description>C5SKF2SKVH3A-2131741112-96741</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6DB5382527416408C2445C32FB28D7E" ma:contentTypeVersion="19" ma:contentTypeDescription="Creare un nuovo documento." ma:contentTypeScope="" ma:versionID="cef51cd89c7f3173c518cbcba0e36c22">
  <xsd:schema xmlns:xsd="http://www.w3.org/2001/XMLSchema" xmlns:xs="http://www.w3.org/2001/XMLSchema" xmlns:p="http://schemas.microsoft.com/office/2006/metadata/properties" xmlns:ns2="f41b7f6e-d902-4681-90fc-605d21beadf9" xmlns:ns3="797d79e3-0c55-4768-8341-879dff2c2bdd" targetNamespace="http://schemas.microsoft.com/office/2006/metadata/properties" ma:root="true" ma:fieldsID="cd79c600de25697eaba21c798c68761c" ns2:_="" ns3:_="">
    <xsd:import namespace="f41b7f6e-d902-4681-90fc-605d21beadf9"/>
    <xsd:import namespace="797d79e3-0c55-4768-8341-879dff2c2b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2:MediaServiceSearchProperties"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b7f6e-d902-4681-90fc-605d21beadf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066fb29c-f23a-481a-b35f-6eb13219b40a"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7d79e3-0c55-4768-8341-879dff2c2bdd"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db7420e7-865d-43d4-b663-d4395f82b07f}" ma:internalName="TaxCatchAll" ma:showField="CatchAllData" ma:web="797d79e3-0c55-4768-8341-879dff2c2bdd">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Valore ID documento" ma:description="Valore dell'ID documento assegnato all'elemento." ma:indexed="true" ma:internalName="_dlc_DocId" ma:readOnly="true">
      <xsd:simpleType>
        <xsd:restriction base="dms:Text"/>
      </xsd:simpleType>
    </xsd:element>
    <xsd:element name="_dlc_DocIdUrl" ma:index="27" nillable="true" ma:displayName="ID documento" ma:description="Collegamento permanente al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FE5274-A972-4284-8935-5F8894C42500}">
  <ds:schemaRefs>
    <ds:schemaRef ds:uri="http://schemas.microsoft.com/office/2006/metadata/properties"/>
    <ds:schemaRef ds:uri="http://www.w3.org/2000/xmlns/"/>
    <ds:schemaRef ds:uri="f41b7f6e-d902-4681-90fc-605d21beadf9"/>
    <ds:schemaRef ds:uri="http://schemas.microsoft.com/office/infopath/2007/PartnerControls"/>
    <ds:schemaRef ds:uri="797d79e3-0c55-4768-8341-879dff2c2bdd"/>
    <ds:schemaRef ds:uri="http://www.w3.org/2001/XMLSchema-instance"/>
  </ds:schemaRefs>
</ds:datastoreItem>
</file>

<file path=customXml/itemProps2.xml><?xml version="1.0" encoding="utf-8"?>
<ds:datastoreItem xmlns:ds="http://schemas.openxmlformats.org/officeDocument/2006/customXml" ds:itemID="{A5A4E1BF-FD43-4D73-AFFC-428E50400A12}">
  <ds:schemaRefs>
    <ds:schemaRef ds:uri="http://schemas.microsoft.com/office/2006/metadata/contentType"/>
    <ds:schemaRef ds:uri="http://schemas.microsoft.com/office/2006/metadata/properties/metaAttributes"/>
    <ds:schemaRef ds:uri="http://www.w3.org/2000/xmlns/"/>
    <ds:schemaRef ds:uri="http://www.w3.org/2001/XMLSchema"/>
    <ds:schemaRef ds:uri="f41b7f6e-d902-4681-90fc-605d21beadf9"/>
    <ds:schemaRef ds:uri="797d79e3-0c55-4768-8341-879dff2c2bd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2F1F81-C08C-4445-870B-020846290902}">
  <ds:schemaRefs>
    <ds:schemaRef ds:uri="http://schemas.microsoft.com/sharepoint/events"/>
    <ds:schemaRef ds:uri="http://www.w3.org/2000/xmlns/"/>
  </ds:schemaRefs>
</ds:datastoreItem>
</file>

<file path=customXml/itemProps4.xml><?xml version="1.0" encoding="utf-8"?>
<ds:datastoreItem xmlns:ds="http://schemas.openxmlformats.org/officeDocument/2006/customXml" ds:itemID="{4703EFE8-BED1-498F-918B-3F9EDF1739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domande</vt:lpstr>
      <vt:lpstr>Foglio1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Farinelli</dc:creator>
  <cp:keywords/>
  <dc:description/>
  <cp:lastModifiedBy>Matteo Farinelli</cp:lastModifiedBy>
  <cp:revision/>
  <dcterms:created xsi:type="dcterms:W3CDTF">2025-04-22T07:41:25Z</dcterms:created>
  <dcterms:modified xsi:type="dcterms:W3CDTF">2025-09-19T12:56:43Z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0x010100B6DB5382527416408C2445C32FB28D7E</vt:lpwstr>
  </property>
  <property fmtid="{D5CDD505-2E9C-101B-9397-08002B2CF9AE}" pid="3" name="_dlc_DocIdItemGuid">
    <vt:lpwstr>fb7e3f19-d050-43c5-a6a6-11893e4266c4</vt:lpwstr>
  </property>
  <property fmtid="{D5CDD505-2E9C-101B-9397-08002B2CF9AE}" pid="4" name="MediaServiceImageTags">
    <vt:lpwstr/>
  </property>
</Properties>
</file>